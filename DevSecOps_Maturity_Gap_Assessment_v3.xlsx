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arrowelectronics-my.sharepoint.com/personal/pranjal_kalal_einfochips_com/Documents/Documents/werfen/DevSecOps/"/>
    </mc:Choice>
  </mc:AlternateContent>
  <xr:revisionPtr revIDLastSave="245" documentId="14_{BBA822AE-DDD3-4D76-A69E-74F04AC989A7}" xr6:coauthVersionLast="47" xr6:coauthVersionMax="47" xr10:uidLastSave="{F2F93174-2507-42A3-BE20-720ABEED1F93}"/>
  <bookViews>
    <workbookView xWindow="-28920" yWindow="540" windowWidth="29040" windowHeight="15720" activeTab="5" xr2:uid="{00000000-000D-0000-FFFF-FFFF00000000}"/>
  </bookViews>
  <sheets>
    <sheet name="Scope Identification_Questions" sheetId="3" r:id="rId1"/>
    <sheet name="Required Access" sheetId="2" r:id="rId2"/>
    <sheet name="Questionaries_for_devops_team" sheetId="4" r:id="rId3"/>
    <sheet name="Assessment" sheetId="5" r:id="rId4"/>
    <sheet name="Report" sheetId="6" r:id="rId5"/>
    <sheet name="Framework References"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6" l="1"/>
  <c r="F14" i="6"/>
  <c r="F13" i="6"/>
  <c r="F12" i="6"/>
  <c r="F11" i="6"/>
  <c r="F10" i="6"/>
  <c r="F9" i="6"/>
  <c r="F8" i="6"/>
  <c r="F7" i="6"/>
  <c r="F6" i="6"/>
  <c r="F5" i="6"/>
  <c r="F4" i="6"/>
  <c r="F3" i="6"/>
</calcChain>
</file>

<file path=xl/sharedStrings.xml><?xml version="1.0" encoding="utf-8"?>
<sst xmlns="http://schemas.openxmlformats.org/spreadsheetml/2006/main" count="509" uniqueCount="426">
  <si>
    <t>Framework References</t>
  </si>
  <si>
    <t>Required Access</t>
  </si>
  <si>
    <t>Scope Identifier — Pre-Engagement Questions</t>
  </si>
  <si>
    <t>#</t>
  </si>
  <si>
    <t>Scope Question</t>
  </si>
  <si>
    <t>Scope Indicators</t>
  </si>
  <si>
    <t>In Scope</t>
  </si>
  <si>
    <t xml:space="preserve">• One vs multiple repos per app 
• Presence of shared repos 
• Separate IaC repos 
• Repository access control model (RBAC) 
• Branch protection and PR enforcement </t>
  </si>
  <si>
    <t xml:space="preserve">• CI/CD tools in use 
• Approximate pipeline count 
• Standardised vs custom pipelines 
• Pipeline-as-code vs UI-based 
• Security stages integrated (SAST/SCA/etc.) 
• Pipeline enforcement (blocking vs non-blocking)  </t>
  </si>
  <si>
    <t>Where are applications hosted (on-prem, cloud, or hybrid)?
Which cloud providers are used?
Are containers and orchestration platforms (e.g., Kubernetes) used, and how many runtime clusters exist?
Are workloads consistently deployed across environments?</t>
  </si>
  <si>
    <t>• On-prem / cloud / hybrid model
• Cloud providers (AWS / Azure / GCP)
• Containers used (Y/N)
• Number of runtime clusters</t>
  </si>
  <si>
    <t>What security checks are integrated into build and deployment pipelines (SAST, SCA, DAST, secrets, container, IaC)?
Are they consistently applied across all applications, enforced in pipelines, and are any applications explicitly excluded from scanning?</t>
  </si>
  <si>
    <t xml:space="preserve">• Types of checks present (SAST / SCA / DAST / Secrets / Container / IaC) 
• Consistency across applications 
• Pipeline enforcement (fail on vulnerabilities or not) 
• Coverage (all apps vs partial) 
• Any explicit exclusions  </t>
  </si>
  <si>
    <t>What governance and standardization practices are in place for repositories, CI/CD pipelines, and security controls?
Are standard templates, policies, and exception handling processes defined and enforced?</t>
  </si>
  <si>
    <t xml:space="preserve">• Presence of standard templates (CI/CD, repos) 
• Exception handling process 
• Documentation availability (architecture, pipeline standards)  </t>
  </si>
  <si>
    <t>Required Access &amp; Review Objectives</t>
  </si>
  <si>
    <t>Assessment Area</t>
  </si>
  <si>
    <t>Review Objectives</t>
  </si>
  <si>
    <t>Applicability</t>
  </si>
  <si>
    <t>Source Code &amp; SCM
(GitHub / GitLab / Bitbucket / Azure Repos)</t>
  </si>
  <si>
    <t>Read-only</t>
  </si>
  <si>
    <t>• Branch protection rules
• Mandatory PR/code review config
• PR approver permissions
• CODEOWNERS file
• Commit signing config
• Secret scanning configuration</t>
  </si>
  <si>
    <t>CI/CD Platform
(Jenkins / GitHub Actions / GitLab CI / Azure DevOps)</t>
  </si>
  <si>
    <t>• Pipeline stages (build → test → scan → deploy)
• Security scan steps and gate config
• Approval gates and conditions
• Pipeline-as-code usage
• Runner/agent isolation config</t>
  </si>
  <si>
    <t>Artifact &amp; Package Repositories
(Nexus / Artifactory / ECR / ACR)</t>
  </si>
  <si>
    <t>• Artifact immutability settings
• Promotion flow (dev → staging → prod)
• Checksum / image signing config
• Retention and cleanup policies</t>
  </si>
  <si>
    <t>Container Platforms
(Docker / Kubernetes / OpenShift)</t>
  </si>
  <si>
    <t>Read-only (RBAC)</t>
  </si>
  <si>
    <t>• Namespace isolation
• Image pull policies
• Admission controller config
• Pod security standards
• Runtime security tools (Falco etc.)</t>
  </si>
  <si>
    <t>Cloud Platforms
(AWS / Azure / GCP)</t>
  </si>
  <si>
    <t>Security Reader / Read-only IAM</t>
  </si>
  <si>
    <t>• IAM role and policy design
• Least-privilege enforcement
• Logging &amp; monitoring enablement
• Network segmentation
• Key management service usage</t>
  </si>
  <si>
    <t>Security Tooling
(SAST / DAST / SCA / Secrets Scanning)</t>
  </si>
  <si>
    <t>• Scan coverage across repos
• Severity threshold and gate config
• Policy enforcement settings
• False-positive handling process
• Remediation SLA configuration</t>
  </si>
  <si>
    <t>Secrets Management
(Vault / AWS Secrets Manager / Azure Key Vault)</t>
  </si>
  <si>
    <t>Read metadata only</t>
  </si>
  <si>
    <t>• Secret rotation policies
• Pipeline integration method
• Evidence that secrets are not hard-coded
• Access audit log availability</t>
  </si>
  <si>
    <t>Logging, Monitoring &amp; Incident Response
(Splunk / ELK / Azure Sentinel / Datadog)</t>
  </si>
  <si>
    <t>• Security logging coverage
• Alerting rules and thresholds
• Incident response workflow linkage
• Dev→Sec feedback loop</t>
  </si>
  <si>
    <t>Interview Question</t>
  </si>
  <si>
    <t>Dependency</t>
  </si>
  <si>
    <t>Response / Evidence</t>
  </si>
  <si>
    <t xml:space="preserve">  General</t>
  </si>
  <si>
    <t>How does your team pick up a task, write code, and get it to production? Walk me through end to end.</t>
  </si>
  <si>
    <t>If something went wrong in production last week, how would you have found out and what would you do next?</t>
  </si>
  <si>
    <t>Observability &amp; IR</t>
  </si>
  <si>
    <t>Does security appear in sprint planning, or is it handled separately?</t>
  </si>
  <si>
    <t>Threat Modeling</t>
  </si>
  <si>
    <t>Who owns a security vulnerability once it is found — developer, security team, or shared?</t>
  </si>
  <si>
    <t>Vulnerability Mgmt</t>
  </si>
  <si>
    <t xml:space="preserve">  Source Control &amp; Code Security</t>
  </si>
  <si>
    <t>How is source code organised — mono-repo, one repo per app, or shared repos across teams?</t>
  </si>
  <si>
    <t>Is there a documented branching strategy (e.g. Gitflow, trunk-based) and is it followed consistently?</t>
  </si>
  <si>
    <t>Are pull requests and code reviews mandatory for every change, including hotfixes?</t>
  </si>
  <si>
    <t>Is branch protection enabled on main/production branches (required reviews, status checks, no force-push)?</t>
  </si>
  <si>
    <t>Do developers sign commits (GPG / SSH / Sigstore), and is signing verified in the pipeline?</t>
  </si>
  <si>
    <t>CI/CD Pipeline Security</t>
  </si>
  <si>
    <t>Is secret-scanning configured on every push or PR, and does it block merges on detection?</t>
  </si>
  <si>
    <t>Secrets &amp; Key Mgmt</t>
  </si>
  <si>
    <t xml:space="preserve">  Threat Modeling &amp; Secure Design</t>
  </si>
  <si>
    <t>Before a new feature or service is built, is there any security review — threat model, architecture review, or design discussion?</t>
  </si>
  <si>
    <t>Is the threat modeling / secure design review mandatory or optional, and who can waive it?</t>
  </si>
  <si>
    <t>Governance &amp; Compliance</t>
  </si>
  <si>
    <t>What methodology is used for threat modeling (STRIDE, PASTA, attack trees, ad-hoc)?</t>
  </si>
  <si>
    <t>Are threat model outputs tracked as backlog items and followed to closure?</t>
  </si>
  <si>
    <t>Has a penetration test or red-team exercise been run in the past 12 months, and were all critical findings remediated?</t>
  </si>
  <si>
    <t xml:space="preserve">  Static Analysis (SAST)</t>
  </si>
  <si>
    <t>Which SAST tool(s) are in use, and do they run on every PR or only on scheduled scans?</t>
  </si>
  <si>
    <t>Do critical or high-severity SAST findings block the merge or build, or are they advisory only?</t>
  </si>
  <si>
    <t>How are SAST findings triaged — who reviews them and what is the SLA for remediation?</t>
  </si>
  <si>
    <t>Are false-positive suppressions governed — who approves them and is there a review cycle?</t>
  </si>
  <si>
    <t>Is SAST coverage consistent across all repositories, or are some excluded?</t>
  </si>
  <si>
    <t>Source Control</t>
  </si>
  <si>
    <t xml:space="preserve">  Software Composition Analysis (SCA) &amp; SBOM</t>
  </si>
  <si>
    <t>Is dependency vulnerability scanning (SCA) automated in the pipeline and does it run on every build?</t>
  </si>
  <si>
    <t>Do high-severity CVEs in dependencies block the build, or are findings reported without blocking?</t>
  </si>
  <si>
    <t>How are vulnerable dependencies updated — manually, via automated PRs (Dependabot/Renovate), or rarely?</t>
  </si>
  <si>
    <t>Is an SBOM generated per build in SPDX or CycloneDX format and attached to the artifact?</t>
  </si>
  <si>
    <t>Container &amp; Supply Chain</t>
  </si>
  <si>
    <t>Are transitive (indirect) dependencies included in SCA scans, not just direct dependencies?</t>
  </si>
  <si>
    <t xml:space="preserve">  Tests-as-Code &amp; DAST</t>
  </si>
  <si>
    <t>Are security test cases (auth checks, input validation, crypto config) written and maintained as automated tests in the repo?</t>
  </si>
  <si>
    <t>Is DAST run as part of the pipeline or only scheduled separately?</t>
  </si>
  <si>
    <t>Which API endpoints or user flows have DAST coverage, and are there known gaps?</t>
  </si>
  <si>
    <t>Do DAST findings block deployment, or are they informational?</t>
  </si>
  <si>
    <t>Is test coverage for security tests tracked and reviewed for improvement each sprint?</t>
  </si>
  <si>
    <t>Metrics</t>
  </si>
  <si>
    <t xml:space="preserve">  Metrics</t>
  </si>
  <si>
    <t>What security metrics does the team actively track — e.g. MTTR, open vuln count, pipeline scan pass rate?</t>
  </si>
  <si>
    <t>Are security metrics reviewed in sprint retrospectives or leadership reporting?</t>
  </si>
  <si>
    <t>Do you track trends over time (burn-down, recurring failures) rather than point-in-time counts only?</t>
  </si>
  <si>
    <t>Is there a consolidated dashboard showing security posture across all applications?</t>
  </si>
  <si>
    <t>How do you measure control effectiveness — e.g. ratio of SAST findings suppressed vs. fixed?</t>
  </si>
  <si>
    <t>SAST</t>
  </si>
  <si>
    <t xml:space="preserve">  IaC &amp; Cloud Security</t>
  </si>
  <si>
    <t>Is all infrastructure defined as code and stored in version control?</t>
  </si>
  <si>
    <t>Are IaC configs automatically scanned for misconfigurations (Checkov, tfsec, Trivy) in the pipeline?</t>
  </si>
  <si>
    <t>Do misconfiguration findings block the pipeline or infrastructure apply, or are they advisory?</t>
  </si>
  <si>
    <t>Do service accounts and IAM roles follow least-privilege, and is this reviewed regularly?</t>
  </si>
  <si>
    <t>Is there runtime cloud misconfiguration monitoring (AWS Config, Azure Policy, CSPM) in addition to pipeline-time scanning?</t>
  </si>
  <si>
    <t xml:space="preserve">  CI/CD Pipeline Security</t>
  </si>
  <si>
    <t>Are pipeline definitions stored as code in version control and do changes require PR review?</t>
  </si>
  <si>
    <t>Where are CI/CD secrets stored — in pipeline files, CI variables, or a secrets manager?</t>
  </si>
  <si>
    <t>Are build and deploy roles separated — can the same identity that builds an artifact also deploy to production?</t>
  </si>
  <si>
    <t>Are build artifacts signed or checksum-verified before deployment to confirm integrity?</t>
  </si>
  <si>
    <t>Are pipeline runners isolated per job, or do jobs share a persistent runner with residual state?</t>
  </si>
  <si>
    <t>Is there a manual approval gate before production deployment, and who can approve it?</t>
  </si>
  <si>
    <t xml:space="preserve">  Container &amp; Supply Chain Security</t>
  </si>
  <si>
    <t>Are container images scanned for vulnerabilities in CI before being pushed to the registry?</t>
  </si>
  <si>
    <t>Do high-severity image CVEs block deployment, or do images ship regardless?</t>
  </si>
  <si>
    <t>Are container images signed and is signature verification enforced before deployment?</t>
  </si>
  <si>
    <t>Are images re-scanned after deployment for newly published CVEs, not only at build time?</t>
  </si>
  <si>
    <t>Are build provenance records (SLSA attestations) generated and verified before promoting artifacts?</t>
  </si>
  <si>
    <t>SCA &amp; SBOM</t>
  </si>
  <si>
    <t>Are base images pulled only from a trusted, approved registry, and is network egress from runners restricted?</t>
  </si>
  <si>
    <t xml:space="preserve">  Secrets &amp; Key Management</t>
  </si>
  <si>
    <t>Are all secrets stored in a secrets manager (Vault, AWS Secrets Manager, Azure Key Vault) rather than in code or config files?</t>
  </si>
  <si>
    <t>How are secrets injected into applications and pipelines at runtime — env vars, mounted files, or direct vault API calls?</t>
  </si>
  <si>
    <t>Are secrets rotated on a defined schedule and is rotation automated or manual?</t>
  </si>
  <si>
    <t>Is secret-scanning configured to detect leaked credentials in PRs and existing commit history?</t>
  </si>
  <si>
    <t>Do pipelines and services use short-lived credentials or workload identity (OIDC) rather than long-lived static keys?</t>
  </si>
  <si>
    <t xml:space="preserve">  Vulnerability Management</t>
  </si>
  <si>
    <t>Where are all security vulnerabilities tracked — a dedicated platform, Jira, spreadsheet, or per-tool dashboards only?</t>
  </si>
  <si>
    <t>Are SLAs defined for fixing vulnerabilities by severity (e.g. Critical: 24h, High: 7d, Medium: 30d)?</t>
  </si>
  <si>
    <t>Is SLA compliance monitored and reported, and what happens when an SLA is breached?</t>
  </si>
  <si>
    <t>Is there a formal exception process with owner, justification, expiry date, and periodic review?</t>
  </si>
  <si>
    <t>Do you track vulnerability burn-down trends over time to measure whether posture is improving or regressing?</t>
  </si>
  <si>
    <t xml:space="preserve">  Observability, Runtime &amp; Incident Response</t>
  </si>
  <si>
    <t>Are logs from all applications and infrastructure centralised in a single platform?</t>
  </si>
  <si>
    <t>What is the log retention period and does it satisfy compliance and forensic investigation requirements?</t>
  </si>
  <si>
    <t>Are security-specific alerts configured (failed auth spikes, privilege escalation) and are they actively reviewed?</t>
  </si>
  <si>
    <t>Is runtime security monitoring enabled for containers and cloud workloads (Falco, GuardDuty, Defender)?</t>
  </si>
  <si>
    <t>Is there a documented incident response playbook and has it been tested via tabletop or real incident in the past 12 months?</t>
  </si>
  <si>
    <t xml:space="preserve">  Governance, Risk &amp; Compliance</t>
  </si>
  <si>
    <t>Is there a defined security policy covering development, deployment, and operations, and is it reviewed regularly?</t>
  </si>
  <si>
    <t>What compliance requirements must the team meet (SOC 2, ISO 27001, PCI-DSS, GDPR) and how are they tracked?</t>
  </si>
  <si>
    <t>Is there a risk register where DevSecOps risks are formally recorded, owned, and periodically reviewed?</t>
  </si>
  <si>
    <t>How are security exceptions and policy deviations documented, approved, and tracked to closure?</t>
  </si>
  <si>
    <t>Is security ownership embedded in teams (security champion model) or handled only by a central security team?</t>
  </si>
  <si>
    <t>Assessment — Maturity Scoring by Domain, Sub-Domain &amp; Environment</t>
  </si>
  <si>
    <t>Domain</t>
  </si>
  <si>
    <t>Sub-Domain</t>
  </si>
  <si>
    <t>Requirement Summary</t>
  </si>
  <si>
    <t>L1 — Initial</t>
  </si>
  <si>
    <t>L2 — Developing</t>
  </si>
  <si>
    <t>L3 — Defined</t>
  </si>
  <si>
    <t>L4 — Managed</t>
  </si>
  <si>
    <t>L5 — Optimised</t>
  </si>
  <si>
    <t>Score</t>
  </si>
  <si>
    <t>Identified Gap</t>
  </si>
  <si>
    <t>Source Control &amp; Code Security</t>
  </si>
  <si>
    <t>Signed Commits &amp; Provenance</t>
  </si>
  <si>
    <t>Developers must sign commits (GPG/SSH/Sigstore). Build pipelines must verify commit signatures and reject unsigned commits. Artifacts must include SLSA provenance metadata.</t>
  </si>
  <si>
    <t>L1 — Not used</t>
  </si>
  <si>
    <t>L2 — Optional</t>
  </si>
  <si>
    <t>L3 — Used for sensitive changes</t>
  </si>
  <si>
    <t>L4 — Mandatory</t>
  </si>
  <si>
    <t>L5 — Automatically verified</t>
  </si>
  <si>
    <t>DSOMM I-A-3
SSDF PS.3
SLSA L2–L3
CNCF SSCBP</t>
  </si>
  <si>
    <t>Secrets Scanning</t>
  </si>
  <si>
    <t>Pre-commit hooks scan for secrets before code leaves the developer machine. Server-side (SCM) scanners block pushes containing secrets. Exposed secrets are auto-revoked and rotated.</t>
  </si>
  <si>
    <t>L1 — No scanning</t>
  </si>
  <si>
    <t>L2 — Manual checks</t>
  </si>
  <si>
    <t>L3 — CI scanning active</t>
  </si>
  <si>
    <t>L4 — PR blocking rule</t>
  </si>
  <si>
    <t>L5 — Auto-revocation</t>
  </si>
  <si>
    <t>DSOMM I-A-4
SSDF PW.8
CNCF SSCBP</t>
  </si>
  <si>
    <t>Threat Modeling &amp; Secure Design</t>
  </si>
  <si>
    <t>Architecture Review Gates</t>
  </si>
  <si>
    <t>High-risk changes require formal architecture/security review before implementation or deployment.</t>
  </si>
  <si>
    <t>L1 — No review</t>
  </si>
  <si>
    <t>L2 — Occasional by senior dev</t>
  </si>
  <si>
    <t>L3 — Mandatory for major changes</t>
  </si>
  <si>
    <t>L4 — Standardised checklist</t>
  </si>
  <si>
    <t>L5 — Reusable design patterns library</t>
  </si>
  <si>
    <t>DSOMM II-A-2
SSDF PW.1.2</t>
  </si>
  <si>
    <t>Abuse Case Testing</t>
  </si>
  <si>
    <t>Identify potential abuse paths and create negative tests or automated checks to validate defences.</t>
  </si>
  <si>
    <t>L1 — Not performed</t>
  </si>
  <si>
    <t>L2 — Basic negative testing</t>
  </si>
  <si>
    <t>L3 — Included in QA test cases</t>
  </si>
  <si>
    <t>L4 — Automated in CI</t>
  </si>
  <si>
    <t>L5 — Based on telemetry / threat intel</t>
  </si>
  <si>
    <t>DSOMM II-A-3
SSDF PW.1.3
OWASP ASVS</t>
  </si>
  <si>
    <t>Static Analysis (SAST)</t>
  </si>
  <si>
    <t>Build-Breaking Policies</t>
  </si>
  <si>
    <t>Critical/high-severity SAST findings must block merges/builds unless an approved exception exists.</t>
  </si>
  <si>
    <t>L1 — Findings ignored</t>
  </si>
  <si>
    <t>L2 — Informational only</t>
  </si>
  <si>
    <t>L3 — High severity breaks build</t>
  </si>
  <si>
    <t>L4 — Severity + exploitability</t>
  </si>
  <si>
    <t>L5 — Fully automated governance</t>
  </si>
  <si>
    <t>DSOMM III-A-2
SSDF PW.7.2</t>
  </si>
  <si>
    <t>Finding Triage SLAs</t>
  </si>
  <si>
    <t>Time-bound SLAs exist for triaging, fixing, or accepting SAST findings (e.g. critical ≤ 7 days).</t>
  </si>
  <si>
    <t>L1 — No tracking</t>
  </si>
  <si>
    <t>L2 — Manual tracking</t>
  </si>
  <si>
    <t>L3 — SLAs defined</t>
  </si>
  <si>
    <t>L4 — Automated reminders</t>
  </si>
  <si>
    <t>L5 — SLA dashboards</t>
  </si>
  <si>
    <t>DSOMM III-A-3
SSDF RV.1.2</t>
  </si>
  <si>
    <t>Software Composition Analysis (SCA) &amp; SBOM</t>
  </si>
  <si>
    <t>SBOM Generation &amp; Attestation</t>
  </si>
  <si>
    <t>SBOMs generated per build in SPDX/CycloneDX. Attached to provenance metadata for verification.</t>
  </si>
  <si>
    <t>L1 — None</t>
  </si>
  <si>
    <t>L2 — Generated manually</t>
  </si>
  <si>
    <t>L3 — Generated in CI</t>
  </si>
  <si>
    <t>L4 — Attached to artifacts</t>
  </si>
  <si>
    <t>L5 — Verified with attestations</t>
  </si>
  <si>
    <t>DSOMM IV-A-2
SSDF PW.4.4
SLSA L1–L2
CNCF SSCBP</t>
  </si>
  <si>
    <t>Vulnerable Dependency Gates</t>
  </si>
  <si>
    <t>Builds block components with known exploitable vulnerabilities unless exceptioned with compensating controls.</t>
  </si>
  <si>
    <t>L1 — Not enforced</t>
  </si>
  <si>
    <t>L2 — Warnings only</t>
  </si>
  <si>
    <t>L3 — Block on criticals</t>
  </si>
  <si>
    <t>L4 — Policy-as-code</t>
  </si>
  <si>
    <t>L5 — Automated fix PRs</t>
  </si>
  <si>
    <t>DSOMM IV-A-3
SSDF RV.1.3</t>
  </si>
  <si>
    <t>Tests-as-Code &amp; DAST</t>
  </si>
  <si>
    <t>DAST Baseline &amp; Authenticated Scans</t>
  </si>
  <si>
    <t>A DAST baseline must run at least per release. Authenticated DAST required for high-risk services.</t>
  </si>
  <si>
    <t>L2 — On-demand scans</t>
  </si>
  <si>
    <t>L3 — Baseline scan in CI</t>
  </si>
  <si>
    <t>L4 — Authenticated scan</t>
  </si>
  <si>
    <t>L5 — Continuous monitoring</t>
  </si>
  <si>
    <t>DSOMM V-A-2
SSDF PW.6.2
OWASP DAST</t>
  </si>
  <si>
    <t>Program KPIs</t>
  </si>
  <si>
    <t>Track MTTR for vulnerabilities, % policy-compliant builds, scan failure rate, and deployment frequency with security gate pass rate.</t>
  </si>
  <si>
    <t>L1 — No metrics</t>
  </si>
  <si>
    <t>L2 — Basic vuln count</t>
  </si>
  <si>
    <t>L3 — MTTR, SLA compliance, scan coverage</t>
  </si>
  <si>
    <t>L4 — Dashboards monitored regularly</t>
  </si>
  <si>
    <t>L5 — Metrics drive prioritisation decisions</t>
  </si>
  <si>
    <t>DSOMM VI-A-1
SSDF RV.2
DORA Metrics</t>
  </si>
  <si>
    <t>IaC &amp; Cloud Security</t>
  </si>
  <si>
    <t>Cloud Guardrails &amp; Drift Detection</t>
  </si>
  <si>
    <t>Org policies enforce guardrails (SCPs, Azure Policies, GCP Org Policies). Drift detection alerts enabled and monitored.</t>
  </si>
  <si>
    <t>L1 — No controls</t>
  </si>
  <si>
    <t>L2 — Some tagging</t>
  </si>
  <si>
    <t>L3 — Basic least privilege</t>
  </si>
  <si>
    <t>L4 — Automated checks</t>
  </si>
  <si>
    <t>L5 — Continuous drift correction</t>
  </si>
  <si>
    <t>DSOMM VII-A-2
SSDF PO.5
CIS CIS-AWS/Azure</t>
  </si>
  <si>
    <t>Least Privilege — CI/CD &amp; Service Identities</t>
  </si>
  <si>
    <t>Pipeline and service identities must have minimum necessary permissions, reviewed on a defined cycle.</t>
  </si>
  <si>
    <t>L1 — Excessive permissions</t>
  </si>
  <si>
    <t>L2 — Some restrictions</t>
  </si>
  <si>
    <t>L3 — Role-based with review</t>
  </si>
  <si>
    <t>L4 — Automated policy checks</t>
  </si>
  <si>
    <t>L5 — Continuous permission tuning</t>
  </si>
  <si>
    <t>DSOMM VII-A-3
SSDF PO.5.2
CIS IAM</t>
  </si>
  <si>
    <t>Pipeline as Code, Review &amp; Approvals</t>
  </si>
  <si>
    <t>All pipelines declared as code in SCM with mandatory PR review and approvals.</t>
  </si>
  <si>
    <t>L1 — Manual pipelines, no reviews</t>
  </si>
  <si>
    <t>L2 — Basic YAML in repo</t>
  </si>
  <si>
    <t>L3 — PR + code review required</t>
  </si>
  <si>
    <t>L4 — Mandatory approvals + auto-checks</t>
  </si>
  <si>
    <t>L5 — Policy-as-code validates all pipeline updates</t>
  </si>
  <si>
    <t>DSOMM VIII-A-2
SSDF PS.2</t>
  </si>
  <si>
    <t>Build Artifact Integrity &amp; Segregation of Duties</t>
  </si>
  <si>
    <t>Builds must run on isolated, tamper-resistant infrastructure. Segregation of duties between developers and pipeline admins.</t>
  </si>
  <si>
    <t>L1 — Not reproducible, no verification</t>
  </si>
  <si>
    <t>L2 — Artifacts stored unsigned</t>
  </si>
  <si>
    <t>L3 — Stored immutably with checksums</t>
  </si>
  <si>
    <t>L4 — Artifact signing + build env attestation</t>
  </si>
  <si>
    <t>L5 — Full supply chain integrity (SLSA-equivalent)</t>
  </si>
  <si>
    <t>DSOMM VIII-A-3
SSDF PS.3
SLSA L2
CNCF SSCBP</t>
  </si>
  <si>
    <t>Container &amp; Supply Chain Security</t>
  </si>
  <si>
    <t>Build System Hardening &amp; Runner Isolation</t>
  </si>
  <si>
    <t>Runners must be ephemeral, isolated per-job, and free from shared state.</t>
  </si>
  <si>
    <t>L1 — Shared runners, broad network access</t>
  </si>
  <si>
    <t>L2 — Basic isolation on some jobs</t>
  </si>
  <si>
    <t>L3 — Dedicated/ephemeral runners; JIT secrets</t>
  </si>
  <si>
    <t>L4 — Network egress restricted; hardened images</t>
  </si>
  <si>
    <t>L5 — Fully isolated, reproducible, supply-chain-hardened environments</t>
  </si>
  <si>
    <t>DSOMM IX-A-2
SSDF PO.5
SLSA L3
CIS Docker</t>
  </si>
  <si>
    <t>SLSA-Style Provenance &amp; Reproducible Builds</t>
  </si>
  <si>
    <t>Build pipelines must generate cryptographically verifiable provenance records.</t>
  </si>
  <si>
    <t>L1 — No provenance, manual steps</t>
  </si>
  <si>
    <t>L2 — Basic metadata captured</t>
  </si>
  <si>
    <t>L3 — Provenance attestations generated in CI</t>
  </si>
  <si>
    <t>L4 — Policy verifies provenance at deploy</t>
  </si>
  <si>
    <t>L5 — Hermetic deterministic builds; provenance verified end-to-end</t>
  </si>
  <si>
    <t>DSOMM IX-A-3
SSDF PS.3
SLSA L1–L4
CNCF SSCBP</t>
  </si>
  <si>
    <t>Secrets &amp; Key Management</t>
  </si>
  <si>
    <t>Rotation, Revocation &amp; Leak Detection</t>
  </si>
  <si>
    <t>Secrets rotated on schedule. Leaks trigger automatic revocation.</t>
  </si>
  <si>
    <t>L1 — No rotation; manual incident response</t>
  </si>
  <si>
    <t>L2 — Rotation only when issues occur</t>
  </si>
  <si>
    <t>L3 — Scheduled rotation for key creds</t>
  </si>
  <si>
    <t>L4 — Automatic rotation/revocation integrated</t>
  </si>
  <si>
    <t>L5 — Continuous detection + automatic response</t>
  </si>
  <si>
    <t>DSOMM X-A-2
SSDF PO.5.2</t>
  </si>
  <si>
    <t>Zero Trust for Non-Human Identities</t>
  </si>
  <si>
    <t>All service/machine identities authenticate via short-lived credentials and defined trust boundaries.</t>
  </si>
  <si>
    <t>L1 — Shared secrets across services</t>
  </si>
  <si>
    <t>L2 — Each service has own static cred</t>
  </si>
  <si>
    <t>L3 — Least-privilege identities per service</t>
  </si>
  <si>
    <t>L4 — Short-lived tokens for CI/CD and workloads</t>
  </si>
  <si>
    <t>L5 — Fully zero-trust (OIDC, JIT access, no long-lived keys)</t>
  </si>
  <si>
    <t>DSOMM X-A-3
SSDF PO.5.2
CNCF Zero Trust</t>
  </si>
  <si>
    <t>Vulnerability Management</t>
  </si>
  <si>
    <t>SLAs by Severity &amp; Asset Criticality</t>
  </si>
  <si>
    <t>Fix timelines are severity-based. Critical systems have stricter timelines.</t>
  </si>
  <si>
    <t>L1 — No SLAs</t>
  </si>
  <si>
    <t>L2 — Basic priority labels</t>
  </si>
  <si>
    <t>L3 — SLAs assigned by severity</t>
  </si>
  <si>
    <t>L4 — Automated reminders / aging reports</t>
  </si>
  <si>
    <t>L5 — Continuous SLA dashboards + risk-based prioritisation</t>
  </si>
  <si>
    <t>DSOMM XI-A-2
SSDF RV.1.2</t>
  </si>
  <si>
    <t>Exception Governance &amp; Burn-Down</t>
  </si>
  <si>
    <t>All exceptions risk-accepted with expiry dates, owner, and tracked until resolved.</t>
  </si>
  <si>
    <t>L1 — Exceptions not documented</t>
  </si>
  <si>
    <t>L2 — Discussed verbally</t>
  </si>
  <si>
    <t>L3 — Documented with justification</t>
  </si>
  <si>
    <t>L4 — Expiry dates + periodic review</t>
  </si>
  <si>
    <t>L5 — Burn-down charts + automation for aging exceptions</t>
  </si>
  <si>
    <t>DSOMM XI-A-3
SSDF RV.1.3</t>
  </si>
  <si>
    <t>Observability, Runtime &amp; Incident Response</t>
  </si>
  <si>
    <t>Runtime Detection &amp; Response</t>
  </si>
  <si>
    <t>Runtime detection covers containers, Kubernetes, and cloud workloads.</t>
  </si>
  <si>
    <t>L1 — No runtime monitoring</t>
  </si>
  <si>
    <t>L2 — Basic cloud logs only</t>
  </si>
  <si>
    <t>L3 — Runtime threat detection enabled (Falco/Defender)</t>
  </si>
  <si>
    <t>L4 — Alerts integrated with IR workflow</t>
  </si>
  <si>
    <t>L5 — Real-time detection + automated response</t>
  </si>
  <si>
    <t>DSOMM XII-A-2
SSDF RV.2.2
CNCF Runtime Sec</t>
  </si>
  <si>
    <t>Playbooks, Purple Teaming &amp; Post-Incident Learning</t>
  </si>
  <si>
    <t>Incident response playbooks must exist. Purple team or game-days conducted periodically.</t>
  </si>
  <si>
    <t>L1 — No IR plan</t>
  </si>
  <si>
    <t>L2 — Informal response</t>
  </si>
  <si>
    <t>L3 — Basic playbook created</t>
  </si>
  <si>
    <t>L4 — Post-incident reviews conducted</t>
  </si>
  <si>
    <t>L5 — Continuous learning + red/purple team exercises</t>
  </si>
  <si>
    <t>DSOMM XII-A-3
SSDF RV.3
NIST IR</t>
  </si>
  <si>
    <t>Governance, Risk &amp; Compliance</t>
  </si>
  <si>
    <t>Policy-as-Code</t>
  </si>
  <si>
    <t>Security policies enforced automatically across SDLC, IaC, and cloud through automated checks.</t>
  </si>
  <si>
    <t>L1 — Manual reviews</t>
  </si>
  <si>
    <t>L2 — Some automated checks</t>
  </si>
  <si>
    <t>L3 — Automated linting/security checks</t>
  </si>
  <si>
    <t>L4 — Pipeline blocks violations</t>
  </si>
  <si>
    <t>L5 — Fully automated and tuned</t>
  </si>
  <si>
    <t>DSOMM XIII-A-1
SSDF PO.1</t>
  </si>
  <si>
    <t>Risk Acceptance &amp; Exception Process</t>
  </si>
  <si>
    <t>All exceptions formally documented with owner, justification, expiry date, and review cycle.</t>
  </si>
  <si>
    <t>L1 — Not tracked</t>
  </si>
  <si>
    <t>L2 — Discussed informally</t>
  </si>
  <si>
    <t>L3 — Documented in tickets</t>
  </si>
  <si>
    <t>L4 — Expiry dates defined</t>
  </si>
  <si>
    <t>L5 — Reviewed regularly with dashboards</t>
  </si>
  <si>
    <t>DSOMM XIII-A-2
SSDF PO.4
ISO 27001 A.6</t>
  </si>
  <si>
    <t>Regulatory Mapping</t>
  </si>
  <si>
    <t>Compliance requirements (PCI, ISO 27001, SOC 2, GDPR) mapped to acceptance criteria and pipeline evidence.</t>
  </si>
  <si>
    <t>L1 — Not applicable or unknown</t>
  </si>
  <si>
    <t>L2 — Basic awareness</t>
  </si>
  <si>
    <t>L3 — Requirements mapped to AC</t>
  </si>
  <si>
    <t>L4 — Evidence attached to tickets/pipelines</t>
  </si>
  <si>
    <t>L5 — Automated compliance checks</t>
  </si>
  <si>
    <t>DSOMM XIII-A-3
SSDF PO.1.2
PCI-DSS / ISO 27001</t>
  </si>
  <si>
    <t>Assessment Report — Gap Analysis &amp; Recommendations</t>
  </si>
  <si>
    <t>Actual Maturity
(Avg)</t>
  </si>
  <si>
    <t>Target
Maturity</t>
  </si>
  <si>
    <t>Gap</t>
  </si>
  <si>
    <t>Priority
(1=High)</t>
  </si>
  <si>
    <t>Observations</t>
  </si>
  <si>
    <t>Recommendations</t>
  </si>
  <si>
    <t>MATURITY LEVELS:  
L1 — Initial (ad hoc, no process)   
              L2 — Developing (informal, inconsistent)  
           L3 — Defined (documented, consistent) 
     L4 — Managed (measured, enforced)
                               L5 — Optimising (continuous improvement, automated)
GAP:  Target Maturity − Actual Maturity. 
 0 = on target.  
Positive = gap to close. 
 PRIORITY:  
1 = Critical (gap ≥ 3), 
2 = High (gap = 2), 
3 = Medium (gap = 1), 
4 = No action.</t>
  </si>
  <si>
    <t>Framework</t>
  </si>
  <si>
    <t>Abbreviation</t>
  </si>
  <si>
    <t>Description</t>
  </si>
  <si>
    <t>Official URL</t>
  </si>
  <si>
    <t>OWASP DSOMM</t>
  </si>
  <si>
    <t>DSOMM</t>
  </si>
  <si>
    <t>DevSecOps Maturity Model — primary reference for pipeline security maturity levels across all 13 domains.</t>
  </si>
  <si>
    <t>https://dsomm.owasp.org</t>
  </si>
  <si>
    <t>NIST Secure Software Development Framework</t>
  </si>
  <si>
    <t>SSDF (SP 800-218)</t>
  </si>
  <si>
    <t>NIST framework covering secure design, code review, dependency management, and vulnerability response practices.</t>
  </si>
  <si>
    <t>https://csrc.nist.gov/publications/detail/sp/800-218/final</t>
  </si>
  <si>
    <t>Supply Chain Levels for Software Artifacts</t>
  </si>
  <si>
    <t>SLSA</t>
  </si>
  <si>
    <t>Google/OpenSSF framework for supply chain integrity — provenance, build hardening, and artifact signing levels L1–L4.</t>
  </si>
  <si>
    <t>https://slsa.dev</t>
  </si>
  <si>
    <t>CNCF Software Supply Chain Best Practices</t>
  </si>
  <si>
    <t>CNCF SSCBP</t>
  </si>
  <si>
    <t>Cloud Native Computing Foundation guidance on securing the software supply chain including containers and pipelines.</t>
  </si>
  <si>
    <t>https://github.com/cncf/tag-security/blob/main/supply-chain-security/supply-chain-security-paper/CNCF_SSCP_v1.pdf</t>
  </si>
  <si>
    <t>CIS Benchmarks</t>
  </si>
  <si>
    <t>CIS</t>
  </si>
  <si>
    <t>Center for Internet Security hardening benchmarks for cloud platforms, containers, Git, IAM, and logging.</t>
  </si>
  <si>
    <t>https://www.cisecurity.org/cis-benchmarks</t>
  </si>
  <si>
    <t>OWASP Application Security Verification Standard</t>
  </si>
  <si>
    <t>OWASP ASVS</t>
  </si>
  <si>
    <t>Defines security requirements for web applications — referenced for SAST rules and security test coverage.</t>
  </si>
  <si>
    <t>https://owasp.org/www-project-application-security-verification-standard</t>
  </si>
  <si>
    <t>OWASP Threat Modeling</t>
  </si>
  <si>
    <t>OWASP TM</t>
  </si>
  <si>
    <t>OWASP guidance and STRIDE methodology for threat modeling during feature design.</t>
  </si>
  <si>
    <t>https://owasp.org/www-community/Threat_Modeling</t>
  </si>
  <si>
    <t>ISO/IEC 27001</t>
  </si>
  <si>
    <t>ISO 27001</t>
  </si>
  <si>
    <t>International standard for information security management — referenced for GRC, risk acceptance, and exception governance.</t>
  </si>
  <si>
    <t>https://www.iso.org/isoiec-27001-information-security.html</t>
  </si>
  <si>
    <t>PCI Data Security Standard</t>
  </si>
  <si>
    <t>PCI-DSS</t>
  </si>
  <si>
    <t>Payment Card Industry standard — referenced for regulatory mapping and compliance controls in GRC domain.</t>
  </si>
  <si>
    <t>https://www.pcisecuritystandards.org</t>
  </si>
  <si>
    <t>DORA Metrics</t>
  </si>
  <si>
    <t>DORA</t>
  </si>
  <si>
    <t>DevOps Research and Assessment metrics (deployment frequency, MTTR, change failure rate) — referenced for Metrics domain.</t>
  </si>
  <si>
    <t>https://dora.dev/research</t>
  </si>
  <si>
    <t>NIST Incident Response Guide</t>
  </si>
  <si>
    <t>NIST IR (SP 800-61)</t>
  </si>
  <si>
    <t>NIST guidance on incident response lifecycle — referenced for playbooks and post-incident review requirements.</t>
  </si>
  <si>
    <t>https://csrc.nist.gov/publications/detail/sp/800-61/rev-2/final</t>
  </si>
  <si>
    <t>Read-Only</t>
  </si>
  <si>
    <t>DevOps Related Technical Documentations</t>
  </si>
  <si>
    <t>Provides an understanding of the DevOps pipeline environment and related technical details.</t>
  </si>
  <si>
    <t xml:space="preserve">How is source code organised (single vs multiple repositories per application, shared repositories, and separate IaC repositories)?
</t>
  </si>
  <si>
    <t xml:space="preserve">How are applications built and deployed (CI/CD tools, number of pipelines, standardised vs custom, pipeline-as-code vs UI-based)? Which language is used for the pipeline/codebase?
</t>
  </si>
  <si>
    <t xml:space="preserve">What environments exist (dev, test, staging, prod, DR)?
Are they shared or dedicated per application, and how is environment isolation maintained?
</t>
  </si>
  <si>
    <t xml:space="preserve">• On-prem / cloud / hybrid model 
• Containers used (Y/N) 
• Number of runtime clusters 
• Workload distribution (container vs VM)  </t>
  </si>
  <si>
    <t>Can you describe the system architecture end to end (including environments), the key components involved, and the types of data or critical assets that are stored, processed, or transmitted?</t>
  </si>
  <si>
    <t>Who has access to the system (users, services, pipelines), how are they authenticated and authorized, and how does code/configuration move from development to production securely?</t>
  </si>
  <si>
    <t>What are the stages of the DevOps pipeline, and how is each stage managed?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</si>
</sst>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0"/>
      <color rgb="FF333333"/>
      <name val="Arial"/>
    </font>
    <font>
      <b/>
      <sz val="13"/>
      <color rgb="FFFFFFFF"/>
      <name val="Arial"/>
    </font>
    <font>
      <b/>
      <sz val="9"/>
      <color rgb="FFFFFFFF"/>
      <name val="Arial"/>
    </font>
    <font>
      <b/>
      <sz val="10"/>
      <color rgb="FF333333"/>
      <name val="Arial"/>
    </font>
    <font>
      <b/>
      <sz val="10"/>
      <color rgb="FF1D4ED8"/>
      <name val="Arial"/>
    </font>
    <font>
      <b/>
      <sz val="10"/>
      <name val="Arial"/>
    </font>
    <font>
      <sz val="10"/>
      <name val="Arial"/>
    </font>
    <font>
      <b/>
      <sz val="10"/>
      <color rgb="FF1E3A5F"/>
      <name val="Arial"/>
    </font>
    <font>
      <u/>
      <sz val="9"/>
      <color rgb="FF1D4ED8"/>
      <name val="Arial"/>
    </font>
    <font>
      <sz val="11"/>
      <name val="Calibri"/>
      <family val="2"/>
      <scheme val="minor"/>
    </font>
    <font>
      <i/>
      <sz val="10"/>
      <name val="Arial"/>
    </font>
    <font>
      <b/>
      <sz val="16"/>
      <color theme="1"/>
      <name val="Calibri"/>
      <family val="2"/>
      <scheme val="minor"/>
    </font>
    <font>
      <i/>
      <sz val="10"/>
      <name val="Arial"/>
      <family val="2"/>
    </font>
    <font>
      <b/>
      <sz val="14"/>
      <name val="Calibri"/>
      <family val="2"/>
      <scheme val="minor"/>
    </font>
    <font>
      <b/>
      <sz val="16"/>
      <name val="Calibri"/>
      <family val="2"/>
      <scheme val="minor"/>
    </font>
    <font>
      <b/>
      <sz val="10"/>
      <name val="Arial"/>
      <family val="2"/>
    </font>
    <font>
      <sz val="10"/>
      <name val="Arial"/>
      <family val="2"/>
    </font>
    <font>
      <b/>
      <sz val="11"/>
      <name val="Arial"/>
      <family val="2"/>
    </font>
    <font>
      <i/>
      <sz val="9"/>
      <name val="Arial"/>
      <family val="2"/>
    </font>
    <font>
      <b/>
      <sz val="9"/>
      <color rgb="FFFFFFFF"/>
      <name val="Arial"/>
      <family val="2"/>
    </font>
    <font>
      <b/>
      <i/>
      <sz val="11"/>
      <color rgb="FF555555"/>
      <name val="Arial"/>
      <family val="2"/>
    </font>
    <font>
      <u/>
      <sz val="11"/>
      <color theme="10"/>
      <name val="Calibri"/>
      <family val="2"/>
      <scheme val="minor"/>
    </font>
    <font>
      <sz val="10"/>
      <color rgb="FF333333"/>
      <name val="Arial"/>
      <family val="2"/>
    </font>
    <font>
      <b/>
      <sz val="10"/>
      <color rgb="FF333333"/>
      <name val="Arial"/>
      <family val="2"/>
    </font>
    <font>
      <b/>
      <sz val="13"/>
      <color rgb="FFFFFFFF"/>
      <name val="Arial"/>
      <family val="2"/>
    </font>
  </fonts>
  <fills count="8">
    <fill>
      <patternFill patternType="none"/>
    </fill>
    <fill>
      <patternFill patternType="gray125"/>
    </fill>
    <fill>
      <patternFill patternType="solid">
        <fgColor rgb="FF1E2A3A"/>
      </patternFill>
    </fill>
    <fill>
      <patternFill patternType="solid">
        <fgColor rgb="FFFFFFFF"/>
      </patternFill>
    </fill>
    <fill>
      <patternFill patternType="solid">
        <fgColor rgb="FFF5F5F5"/>
      </patternFill>
    </fill>
    <fill>
      <patternFill patternType="solid">
        <fgColor rgb="FFEFF6FF"/>
      </patternFill>
    </fill>
    <fill>
      <patternFill patternType="solid">
        <fgColor rgb="FFFFFFFF"/>
        <bgColor rgb="FF000000"/>
      </patternFill>
    </fill>
    <fill>
      <patternFill patternType="solid">
        <fgColor rgb="FFF5F5F5"/>
        <bgColor rgb="FF000000"/>
      </patternFill>
    </fill>
  </fills>
  <borders count="30">
    <border>
      <left/>
      <right/>
      <top/>
      <bottom/>
      <diagonal/>
    </border>
    <border>
      <left style="thin">
        <color rgb="FFDDDDDD"/>
      </left>
      <right style="thin">
        <color rgb="FFDDDDDD"/>
      </right>
      <top style="thin">
        <color rgb="FFDDDDDD"/>
      </top>
      <bottom style="thin">
        <color rgb="FFDDDDDD"/>
      </bottom>
      <diagonal/>
    </border>
    <border>
      <left/>
      <right/>
      <top style="thin">
        <color rgb="FFDDDDDD"/>
      </top>
      <bottom style="thin">
        <color rgb="FFDDDDDD"/>
      </bottom>
      <diagonal/>
    </border>
    <border>
      <left/>
      <right style="thin">
        <color rgb="FFDDDDDD"/>
      </right>
      <top style="thin">
        <color rgb="FFDDDDDD"/>
      </top>
      <bottom style="thin">
        <color rgb="FFDDDDDD"/>
      </bottom>
      <diagonal/>
    </border>
    <border>
      <left/>
      <right/>
      <top/>
      <bottom/>
      <diagonal/>
    </border>
    <border>
      <left/>
      <right/>
      <top/>
      <bottom style="thin">
        <color rgb="FFDDDDDD"/>
      </bottom>
      <diagonal/>
    </border>
    <border>
      <left style="thin">
        <color rgb="FFDDDDDD"/>
      </left>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rgb="FFDDDDDD"/>
      </left>
      <right style="thin">
        <color rgb="FFDDDDDD"/>
      </right>
      <top style="thin">
        <color rgb="FFDDDDDD"/>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style="medium">
        <color indexed="64"/>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22" fillId="0" borderId="0" applyNumberFormat="0" applyFill="0" applyBorder="0" applyAlignment="0" applyProtection="0"/>
  </cellStyleXfs>
  <cellXfs count="102">
    <xf numFmtId="0" fontId="0" fillId="0" borderId="0" xfId="0"/>
    <xf numFmtId="0" fontId="3" fillId="2" borderId="1" xfId="0" applyFont="1" applyFill="1" applyBorder="1" applyAlignment="1">
      <alignment horizontal="center" vertical="center" wrapText="1"/>
    </xf>
    <xf numFmtId="0" fontId="1" fillId="0" borderId="1" xfId="0" applyFont="1" applyBorder="1" applyAlignment="1">
      <alignment horizontal="left" vertical="top" wrapText="1"/>
    </xf>
    <xf numFmtId="0" fontId="1" fillId="3" borderId="1" xfId="0" applyFont="1" applyFill="1" applyBorder="1" applyAlignment="1">
      <alignment horizontal="left" vertical="top" wrapText="1"/>
    </xf>
    <xf numFmtId="0" fontId="0" fillId="0" borderId="2" xfId="0" applyBorder="1"/>
    <xf numFmtId="0" fontId="0" fillId="0" borderId="3" xfId="0" applyBorder="1"/>
    <xf numFmtId="0" fontId="8" fillId="3" borderId="1" xfId="0" applyFont="1" applyFill="1" applyBorder="1" applyAlignment="1">
      <alignment horizontal="left" vertical="top" wrapText="1"/>
    </xf>
    <xf numFmtId="0" fontId="5" fillId="3" borderId="1" xfId="0" applyFont="1" applyFill="1" applyBorder="1" applyAlignment="1">
      <alignment horizontal="center" vertical="top" wrapText="1"/>
    </xf>
    <xf numFmtId="0" fontId="9" fillId="3" borderId="1" xfId="0" applyFont="1" applyFill="1" applyBorder="1" applyAlignment="1">
      <alignment vertical="top" wrapText="1"/>
    </xf>
    <xf numFmtId="0" fontId="8" fillId="5" borderId="1" xfId="0" applyFont="1" applyFill="1" applyBorder="1" applyAlignment="1">
      <alignment horizontal="left" vertical="top" wrapText="1"/>
    </xf>
    <xf numFmtId="0" fontId="5" fillId="5" borderId="1" xfId="0" applyFont="1" applyFill="1" applyBorder="1" applyAlignment="1">
      <alignment horizontal="center" vertical="top" wrapText="1"/>
    </xf>
    <xf numFmtId="0" fontId="1" fillId="5" borderId="1" xfId="0" applyFont="1" applyFill="1" applyBorder="1" applyAlignment="1">
      <alignment horizontal="left" vertical="top" wrapText="1"/>
    </xf>
    <xf numFmtId="0" fontId="9" fillId="5" borderId="1" xfId="0" applyFont="1" applyFill="1" applyBorder="1" applyAlignment="1">
      <alignment vertical="top" wrapText="1"/>
    </xf>
    <xf numFmtId="0" fontId="10" fillId="0" borderId="0" xfId="0" applyFont="1"/>
    <xf numFmtId="0" fontId="1" fillId="0" borderId="6" xfId="0" applyFont="1" applyBorder="1" applyAlignment="1">
      <alignment horizontal="left" vertical="top" wrapText="1"/>
    </xf>
    <xf numFmtId="0" fontId="1" fillId="3" borderId="7" xfId="0" applyFont="1" applyFill="1" applyBorder="1" applyAlignment="1">
      <alignment horizontal="left" vertical="top" wrapText="1"/>
    </xf>
    <xf numFmtId="0" fontId="1" fillId="4" borderId="7" xfId="0" applyFont="1" applyFill="1" applyBorder="1" applyAlignment="1">
      <alignment horizontal="left" vertical="top"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7" fillId="0" borderId="12" xfId="0" applyFont="1" applyBorder="1" applyAlignment="1">
      <alignment horizontal="center" vertical="center"/>
    </xf>
    <xf numFmtId="0" fontId="3" fillId="2" borderId="16" xfId="0" applyFont="1" applyFill="1" applyBorder="1" applyAlignment="1">
      <alignment horizontal="center" vertical="center" wrapText="1"/>
    </xf>
    <xf numFmtId="0" fontId="3" fillId="0" borderId="4" xfId="0" applyFont="1" applyBorder="1" applyAlignment="1">
      <alignment horizontal="center" vertical="center" wrapText="1"/>
    </xf>
    <xf numFmtId="0" fontId="7" fillId="0" borderId="5" xfId="0" applyFont="1" applyBorder="1" applyAlignment="1">
      <alignment horizontal="center" vertical="center"/>
    </xf>
    <xf numFmtId="0" fontId="7" fillId="0" borderId="2" xfId="0" applyFont="1" applyBorder="1" applyAlignment="1">
      <alignment horizontal="center" vertical="center"/>
    </xf>
    <xf numFmtId="0" fontId="2" fillId="0" borderId="5" xfId="0" applyFont="1" applyBorder="1" applyAlignment="1">
      <alignment horizontal="center" vertical="center" wrapText="1"/>
    </xf>
    <xf numFmtId="0" fontId="2" fillId="0" borderId="4" xfId="0" applyFont="1" applyBorder="1" applyAlignment="1">
      <alignment horizontal="center" vertical="center" wrapText="1"/>
    </xf>
    <xf numFmtId="0" fontId="3" fillId="0" borderId="6" xfId="0" applyFont="1" applyBorder="1" applyAlignment="1">
      <alignment horizontal="center" vertical="center" wrapText="1"/>
    </xf>
    <xf numFmtId="0" fontId="2" fillId="0" borderId="5" xfId="0" applyFont="1" applyBorder="1" applyAlignment="1">
      <alignment vertical="center" wrapText="1"/>
    </xf>
    <xf numFmtId="0" fontId="1" fillId="3" borderId="7" xfId="0" applyFont="1" applyFill="1" applyBorder="1" applyAlignment="1">
      <alignment horizontal="center" vertical="top" wrapText="1"/>
    </xf>
    <xf numFmtId="0" fontId="1" fillId="4" borderId="7" xfId="0" applyFont="1" applyFill="1" applyBorder="1" applyAlignment="1">
      <alignment horizontal="center" vertical="top" wrapText="1"/>
    </xf>
    <xf numFmtId="0" fontId="4" fillId="3" borderId="11" xfId="0" applyFont="1" applyFill="1" applyBorder="1" applyAlignment="1">
      <alignment horizontal="center" vertical="center"/>
    </xf>
    <xf numFmtId="0" fontId="1" fillId="3" borderId="12" xfId="0" applyFont="1" applyFill="1" applyBorder="1" applyAlignment="1">
      <alignment horizontal="left" vertical="top" wrapText="1"/>
    </xf>
    <xf numFmtId="0" fontId="4" fillId="4" borderId="11" xfId="0" applyFont="1" applyFill="1" applyBorder="1" applyAlignment="1">
      <alignment horizontal="center" vertical="center"/>
    </xf>
    <xf numFmtId="0" fontId="1" fillId="4" borderId="12" xfId="0" applyFont="1" applyFill="1" applyBorder="1" applyAlignment="1">
      <alignment horizontal="left" vertical="top" wrapText="1"/>
    </xf>
    <xf numFmtId="0" fontId="1" fillId="4" borderId="14" xfId="0" applyFont="1" applyFill="1" applyBorder="1" applyAlignment="1">
      <alignment horizontal="left" vertical="top" wrapText="1"/>
    </xf>
    <xf numFmtId="0" fontId="10" fillId="0" borderId="2" xfId="0" applyFont="1" applyBorder="1"/>
    <xf numFmtId="0" fontId="10" fillId="0" borderId="3" xfId="0" applyFont="1" applyBorder="1"/>
    <xf numFmtId="0" fontId="7" fillId="0" borderId="7" xfId="0" applyFont="1" applyBorder="1" applyAlignment="1">
      <alignment horizontal="left" vertical="top" wrapText="1"/>
    </xf>
    <xf numFmtId="0" fontId="6" fillId="0" borderId="11" xfId="0" applyFont="1" applyBorder="1" applyAlignment="1">
      <alignment horizontal="center" vertical="center" wrapText="1"/>
    </xf>
    <xf numFmtId="0" fontId="6" fillId="0" borderId="13" xfId="0" applyFont="1" applyBorder="1" applyAlignment="1">
      <alignment horizontal="center" vertical="center" wrapText="1"/>
    </xf>
    <xf numFmtId="0" fontId="7" fillId="0" borderId="14" xfId="0" applyFont="1" applyBorder="1" applyAlignment="1">
      <alignment horizontal="left" vertical="top" wrapText="1"/>
    </xf>
    <xf numFmtId="0" fontId="0" fillId="0" borderId="0" xfId="0" applyAlignment="1">
      <alignment horizontal="center" vertical="center"/>
    </xf>
    <xf numFmtId="0" fontId="3" fillId="2" borderId="20" xfId="0" applyFont="1" applyFill="1" applyBorder="1" applyAlignment="1">
      <alignment horizontal="center" vertical="center" wrapText="1"/>
    </xf>
    <xf numFmtId="0" fontId="6" fillId="0" borderId="21"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14" xfId="0" applyFont="1" applyBorder="1" applyAlignment="1">
      <alignment horizontal="center" vertical="center" wrapText="1"/>
    </xf>
    <xf numFmtId="0" fontId="0" fillId="0" borderId="0" xfId="0" applyAlignment="1">
      <alignment horizontal="left" vertical="top"/>
    </xf>
    <xf numFmtId="0" fontId="11" fillId="0" borderId="22"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15" xfId="0" applyFont="1" applyBorder="1" applyAlignment="1">
      <alignment horizontal="center" vertical="center" wrapText="1"/>
    </xf>
    <xf numFmtId="0" fontId="16" fillId="0" borderId="1" xfId="0" applyFont="1" applyBorder="1" applyAlignment="1">
      <alignment vertical="center"/>
    </xf>
    <xf numFmtId="0" fontId="17" fillId="0" borderId="1" xfId="0" applyFont="1" applyBorder="1" applyAlignment="1">
      <alignment horizontal="left" vertical="top" wrapText="1"/>
    </xf>
    <xf numFmtId="0" fontId="16" fillId="0" borderId="1" xfId="0" applyFont="1" applyBorder="1" applyAlignment="1">
      <alignment horizontal="center" vertical="center"/>
    </xf>
    <xf numFmtId="0" fontId="13" fillId="0" borderId="1" xfId="0" applyFont="1" applyBorder="1" applyAlignment="1">
      <alignment horizontal="left" vertical="top" wrapText="1"/>
    </xf>
    <xf numFmtId="0" fontId="18" fillId="0" borderId="1" xfId="0" applyFont="1" applyBorder="1" applyAlignment="1">
      <alignment horizontal="center" vertical="center"/>
    </xf>
    <xf numFmtId="0" fontId="19" fillId="0" borderId="1" xfId="0" applyFont="1" applyBorder="1" applyAlignment="1">
      <alignment vertical="top" wrapText="1"/>
    </xf>
    <xf numFmtId="0" fontId="20" fillId="2" borderId="1" xfId="0" applyFont="1" applyFill="1" applyBorder="1" applyAlignment="1">
      <alignment horizontal="center" vertical="center" wrapText="1"/>
    </xf>
    <xf numFmtId="0" fontId="16" fillId="0" borderId="1" xfId="0" applyFont="1" applyBorder="1" applyAlignment="1">
      <alignment horizontal="left" vertical="center" wrapText="1"/>
    </xf>
    <xf numFmtId="0" fontId="17" fillId="0" borderId="1" xfId="0" applyFont="1" applyBorder="1" applyAlignment="1">
      <alignment vertical="top" wrapText="1"/>
    </xf>
    <xf numFmtId="0" fontId="16" fillId="0" borderId="1" xfId="0" applyFont="1" applyBorder="1" applyAlignment="1">
      <alignment vertical="center" wrapText="1"/>
    </xf>
    <xf numFmtId="0" fontId="18" fillId="0" borderId="1" xfId="0" applyFont="1" applyBorder="1" applyAlignment="1">
      <alignment vertical="center"/>
    </xf>
    <xf numFmtId="0" fontId="22" fillId="5" borderId="1" xfId="1" applyFill="1" applyBorder="1" applyAlignment="1">
      <alignment vertical="top" wrapText="1"/>
    </xf>
    <xf numFmtId="0" fontId="4" fillId="6" borderId="11" xfId="0" applyFont="1" applyFill="1" applyBorder="1" applyAlignment="1">
      <alignment horizontal="left" vertical="top" wrapText="1"/>
    </xf>
    <xf numFmtId="0" fontId="1" fillId="6" borderId="24" xfId="0" applyFont="1" applyFill="1" applyBorder="1" applyAlignment="1">
      <alignment horizontal="left" vertical="top" wrapText="1"/>
    </xf>
    <xf numFmtId="0" fontId="4" fillId="7" borderId="21" xfId="0" applyFont="1" applyFill="1" applyBorder="1" applyAlignment="1">
      <alignment horizontal="left" vertical="top" wrapText="1"/>
    </xf>
    <xf numFmtId="0" fontId="1" fillId="7" borderId="25" xfId="0" applyFont="1" applyFill="1" applyBorder="1" applyAlignment="1">
      <alignment horizontal="left" vertical="top" wrapText="1"/>
    </xf>
    <xf numFmtId="0" fontId="4" fillId="6" borderId="21" xfId="0" applyFont="1" applyFill="1" applyBorder="1" applyAlignment="1">
      <alignment horizontal="left" vertical="top" wrapText="1"/>
    </xf>
    <xf numFmtId="0" fontId="1" fillId="6" borderId="26" xfId="0" applyFont="1" applyFill="1" applyBorder="1" applyAlignment="1">
      <alignment horizontal="left" vertical="top" wrapText="1"/>
    </xf>
    <xf numFmtId="0" fontId="7" fillId="0" borderId="27" xfId="0" applyFont="1" applyBorder="1" applyAlignment="1">
      <alignment horizontal="center" vertical="center"/>
    </xf>
    <xf numFmtId="0" fontId="1" fillId="7" borderId="28" xfId="0" applyFont="1" applyFill="1" applyBorder="1" applyAlignment="1">
      <alignment horizontal="left" vertical="top" wrapText="1"/>
    </xf>
    <xf numFmtId="0" fontId="7" fillId="0" borderId="29" xfId="0" applyFont="1" applyBorder="1" applyAlignment="1">
      <alignment horizontal="center" vertical="center"/>
    </xf>
    <xf numFmtId="0" fontId="23" fillId="6" borderId="24" xfId="0" applyFont="1" applyFill="1" applyBorder="1" applyAlignment="1">
      <alignment horizontal="left" vertical="top" wrapText="1"/>
    </xf>
    <xf numFmtId="0" fontId="23" fillId="7" borderId="25" xfId="0" applyFont="1" applyFill="1" applyBorder="1" applyAlignment="1">
      <alignment horizontal="left" vertical="top" wrapText="1"/>
    </xf>
    <xf numFmtId="0" fontId="23" fillId="6" borderId="25" xfId="0" applyFont="1" applyFill="1" applyBorder="1" applyAlignment="1">
      <alignment horizontal="left" vertical="top" wrapText="1"/>
    </xf>
    <xf numFmtId="0" fontId="20" fillId="2" borderId="9" xfId="0" applyFont="1" applyFill="1" applyBorder="1" applyAlignment="1">
      <alignment horizontal="center" vertical="center" wrapText="1"/>
    </xf>
    <xf numFmtId="0" fontId="17" fillId="0" borderId="22" xfId="0" applyFont="1" applyBorder="1" applyAlignment="1">
      <alignment horizontal="left" vertical="top" wrapText="1"/>
    </xf>
    <xf numFmtId="0" fontId="21" fillId="4" borderId="6" xfId="0" applyFont="1" applyFill="1" applyBorder="1" applyAlignment="1">
      <alignment horizontal="center" vertical="center" wrapText="1"/>
    </xf>
    <xf numFmtId="0" fontId="21" fillId="4" borderId="2" xfId="0" applyFont="1" applyFill="1" applyBorder="1" applyAlignment="1">
      <alignment horizontal="center" vertical="center" wrapText="1"/>
    </xf>
    <xf numFmtId="0" fontId="2" fillId="2" borderId="5" xfId="0" applyFont="1" applyFill="1" applyBorder="1" applyAlignment="1">
      <alignment horizontal="center" vertical="center"/>
    </xf>
    <xf numFmtId="0" fontId="2" fillId="2" borderId="4" xfId="0" applyFont="1" applyFill="1" applyBorder="1" applyAlignment="1">
      <alignment horizontal="center" vertical="center" wrapText="1"/>
    </xf>
    <xf numFmtId="0" fontId="14" fillId="0" borderId="17" xfId="0" applyFont="1" applyBorder="1" applyAlignment="1">
      <alignment horizontal="center" wrapText="1"/>
    </xf>
    <xf numFmtId="0" fontId="14" fillId="0" borderId="18" xfId="0" applyFont="1" applyBorder="1" applyAlignment="1">
      <alignment horizontal="center" wrapText="1"/>
    </xf>
    <xf numFmtId="0" fontId="14" fillId="0" borderId="19" xfId="0" applyFont="1" applyBorder="1" applyAlignment="1">
      <alignment horizontal="center" wrapText="1"/>
    </xf>
    <xf numFmtId="0" fontId="12" fillId="0" borderId="7" xfId="0" applyFont="1" applyBorder="1" applyAlignment="1">
      <alignment horizontal="center"/>
    </xf>
    <xf numFmtId="0" fontId="15" fillId="0" borderId="17" xfId="0" applyFont="1" applyBorder="1" applyAlignment="1">
      <alignment horizontal="center" wrapText="1"/>
    </xf>
    <xf numFmtId="0" fontId="15" fillId="0" borderId="18" xfId="0" applyFont="1" applyBorder="1" applyAlignment="1">
      <alignment horizontal="center" wrapText="1"/>
    </xf>
    <xf numFmtId="0" fontId="15" fillId="0" borderId="19" xfId="0" applyFont="1" applyBorder="1" applyAlignment="1">
      <alignment horizontal="center" wrapText="1"/>
    </xf>
    <xf numFmtId="0" fontId="16" fillId="0" borderId="1" xfId="0" applyFont="1" applyBorder="1" applyAlignment="1">
      <alignment vertical="center"/>
    </xf>
    <xf numFmtId="0" fontId="10" fillId="0" borderId="2" xfId="0" applyFont="1" applyBorder="1"/>
    <xf numFmtId="0" fontId="10" fillId="0" borderId="3" xfId="0" applyFont="1" applyBorder="1"/>
    <xf numFmtId="0" fontId="2" fillId="2" borderId="4" xfId="0" applyFont="1" applyFill="1" applyBorder="1" applyAlignment="1">
      <alignment horizontal="center" vertical="center"/>
    </xf>
    <xf numFmtId="0" fontId="24" fillId="3" borderId="13" xfId="0" applyFont="1" applyFill="1" applyBorder="1" applyAlignment="1">
      <alignment horizontal="center" vertical="center"/>
    </xf>
    <xf numFmtId="0" fontId="23" fillId="3" borderId="14" xfId="0" applyFont="1" applyFill="1" applyBorder="1" applyAlignment="1">
      <alignment horizontal="left" vertical="top" wrapText="1"/>
    </xf>
    <xf numFmtId="0" fontId="23" fillId="3" borderId="14" xfId="0" applyFont="1" applyFill="1" applyBorder="1" applyAlignment="1">
      <alignment horizontal="center" vertical="top" wrapText="1"/>
    </xf>
    <xf numFmtId="0" fontId="0" fillId="0" borderId="15" xfId="0" applyBorder="1"/>
    <xf numFmtId="0" fontId="6" fillId="0" borderId="17" xfId="0" applyFont="1" applyBorder="1" applyAlignment="1">
      <alignment horizontal="center" vertical="center" wrapText="1"/>
    </xf>
    <xf numFmtId="0" fontId="17" fillId="0" borderId="11" xfId="0" applyFont="1" applyBorder="1" applyAlignment="1">
      <alignment horizontal="left" vertical="top" wrapText="1"/>
    </xf>
    <xf numFmtId="0" fontId="17" fillId="0" borderId="7" xfId="0" applyFont="1" applyBorder="1" applyAlignment="1">
      <alignment horizontal="left" vertical="top" wrapText="1"/>
    </xf>
    <xf numFmtId="0" fontId="17" fillId="0" borderId="7" xfId="0" applyFont="1" applyBorder="1" applyAlignment="1">
      <alignment horizontal="center" vertical="center" wrapText="1"/>
    </xf>
    <xf numFmtId="0" fontId="25" fillId="2" borderId="5"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hyperlink" Target="https://csrc.nist.gov/publications/detail/sp/800-218/fin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
  <sheetViews>
    <sheetView showGridLines="0" zoomScale="130" workbookViewId="0">
      <pane ySplit="3" topLeftCell="A8" activePane="bottomLeft" state="frozen"/>
      <selection pane="bottomLeft" activeCell="C22" sqref="C22"/>
    </sheetView>
  </sheetViews>
  <sheetFormatPr defaultRowHeight="14.5" x14ac:dyDescent="0.35"/>
  <cols>
    <col min="1" max="1" width="18.54296875" customWidth="1"/>
    <col min="2" max="2" width="6" customWidth="1"/>
    <col min="3" max="3" width="44" customWidth="1"/>
    <col min="4" max="4" width="36" customWidth="1"/>
    <col min="5" max="6" width="14" customWidth="1"/>
    <col min="7" max="9" width="22" customWidth="1"/>
    <col min="10" max="10" width="26" customWidth="1"/>
  </cols>
  <sheetData>
    <row r="1" spans="1:10" ht="26.15" customHeight="1" x14ac:dyDescent="0.35">
      <c r="A1" s="28"/>
      <c r="B1" s="81" t="s">
        <v>2</v>
      </c>
      <c r="C1" s="81"/>
      <c r="D1" s="81"/>
      <c r="E1" s="81"/>
      <c r="F1" s="81"/>
      <c r="G1" s="81"/>
      <c r="H1" s="81"/>
      <c r="I1" s="81"/>
      <c r="J1" s="81"/>
    </row>
    <row r="2" spans="1:10" ht="26.15" customHeight="1" x14ac:dyDescent="0.35">
      <c r="A2" s="25"/>
      <c r="B2" s="26"/>
      <c r="C2" s="26"/>
      <c r="D2" s="26"/>
      <c r="E2" s="26"/>
      <c r="F2" s="26"/>
      <c r="G2" s="26"/>
      <c r="H2" s="26"/>
      <c r="I2" s="26"/>
      <c r="J2" s="26"/>
    </row>
    <row r="3" spans="1:10" ht="20.149999999999999" customHeight="1" x14ac:dyDescent="0.35">
      <c r="A3" s="27"/>
      <c r="B3" s="17" t="s">
        <v>3</v>
      </c>
      <c r="C3" s="76" t="s">
        <v>4</v>
      </c>
      <c r="D3" s="18" t="s">
        <v>5</v>
      </c>
      <c r="E3" s="21" t="s">
        <v>6</v>
      </c>
      <c r="F3" s="22"/>
    </row>
    <row r="4" spans="1:10" ht="99" customHeight="1" x14ac:dyDescent="0.35">
      <c r="A4" s="14"/>
      <c r="B4" s="64">
        <v>1</v>
      </c>
      <c r="C4" s="73" t="s">
        <v>419</v>
      </c>
      <c r="D4" s="65" t="s">
        <v>7</v>
      </c>
      <c r="E4" s="20"/>
      <c r="F4" s="23"/>
    </row>
    <row r="5" spans="1:10" ht="102" customHeight="1" x14ac:dyDescent="0.35">
      <c r="A5" s="14"/>
      <c r="B5" s="66">
        <v>2</v>
      </c>
      <c r="C5" s="74" t="s">
        <v>420</v>
      </c>
      <c r="D5" s="67" t="s">
        <v>8</v>
      </c>
      <c r="E5" s="20"/>
      <c r="F5" s="24"/>
    </row>
    <row r="6" spans="1:10" ht="102" customHeight="1" x14ac:dyDescent="0.35">
      <c r="A6" s="14"/>
      <c r="B6" s="68">
        <v>3</v>
      </c>
      <c r="C6" s="75" t="s">
        <v>421</v>
      </c>
      <c r="D6" s="75" t="s">
        <v>422</v>
      </c>
      <c r="E6" s="20"/>
      <c r="F6" s="24"/>
    </row>
    <row r="7" spans="1:10" ht="122.25" customHeight="1" x14ac:dyDescent="0.35">
      <c r="A7" s="14"/>
      <c r="B7" s="66">
        <v>4</v>
      </c>
      <c r="C7" s="67" t="s">
        <v>9</v>
      </c>
      <c r="D7" s="67" t="s">
        <v>10</v>
      </c>
      <c r="E7" s="72"/>
      <c r="F7" s="24"/>
    </row>
    <row r="8" spans="1:10" ht="144.75" customHeight="1" x14ac:dyDescent="0.35">
      <c r="A8" s="14"/>
      <c r="B8" s="66">
        <v>5</v>
      </c>
      <c r="C8" s="67" t="s">
        <v>11</v>
      </c>
      <c r="D8" s="71" t="s">
        <v>12</v>
      </c>
      <c r="E8" s="70"/>
      <c r="F8" s="24"/>
    </row>
    <row r="9" spans="1:10" ht="99.75" customHeight="1" x14ac:dyDescent="0.35">
      <c r="B9" s="66">
        <v>6</v>
      </c>
      <c r="C9" s="69" t="s">
        <v>13</v>
      </c>
      <c r="D9" s="69" t="s">
        <v>14</v>
      </c>
      <c r="E9" s="69"/>
      <c r="F9" s="13"/>
    </row>
    <row r="10" spans="1:10" x14ac:dyDescent="0.35">
      <c r="E10" s="13"/>
      <c r="F10" s="13"/>
    </row>
    <row r="11" spans="1:10" x14ac:dyDescent="0.35">
      <c r="E11" s="13"/>
      <c r="F11" s="13"/>
    </row>
  </sheetData>
  <mergeCells count="1">
    <mergeCell ref="B1:J1"/>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G11"/>
  <sheetViews>
    <sheetView showGridLines="0" zoomScale="104" zoomScaleNormal="320" zoomScaleSheetLayoutView="50" workbookViewId="0">
      <pane ySplit="1" topLeftCell="A5" activePane="bottomLeft" state="frozen"/>
      <selection pane="bottomLeft" activeCell="D5" sqref="D5"/>
    </sheetView>
  </sheetViews>
  <sheetFormatPr defaultRowHeight="14.5" x14ac:dyDescent="0.35"/>
  <cols>
    <col min="3" max="3" width="13.1796875" customWidth="1"/>
    <col min="4" max="4" width="42" customWidth="1"/>
    <col min="5" max="5" width="36" customWidth="1"/>
    <col min="6" max="7" width="44.54296875" customWidth="1"/>
  </cols>
  <sheetData>
    <row r="1" spans="3:7" ht="30.65" customHeight="1" thickBot="1" x14ac:dyDescent="0.4">
      <c r="C1" s="92" t="s">
        <v>15</v>
      </c>
      <c r="D1" s="92"/>
      <c r="E1" s="92"/>
      <c r="F1" s="92"/>
      <c r="G1" s="92"/>
    </row>
    <row r="2" spans="3:7" ht="39.65" customHeight="1" x14ac:dyDescent="0.35">
      <c r="C2" s="17" t="s">
        <v>3</v>
      </c>
      <c r="D2" s="18" t="s">
        <v>16</v>
      </c>
      <c r="E2" s="18" t="s">
        <v>1</v>
      </c>
      <c r="F2" s="18" t="s">
        <v>17</v>
      </c>
      <c r="G2" s="19" t="s">
        <v>18</v>
      </c>
    </row>
    <row r="3" spans="3:7" ht="80.150000000000006" customHeight="1" x14ac:dyDescent="0.35">
      <c r="C3" s="31">
        <v>1</v>
      </c>
      <c r="D3" s="15" t="s">
        <v>19</v>
      </c>
      <c r="E3" s="29" t="s">
        <v>20</v>
      </c>
      <c r="F3" s="15" t="s">
        <v>21</v>
      </c>
      <c r="G3" s="32"/>
    </row>
    <row r="4" spans="3:7" ht="80.150000000000006" customHeight="1" x14ac:dyDescent="0.35">
      <c r="C4" s="33">
        <v>2</v>
      </c>
      <c r="D4" s="16" t="s">
        <v>22</v>
      </c>
      <c r="E4" s="30" t="s">
        <v>20</v>
      </c>
      <c r="F4" s="16" t="s">
        <v>23</v>
      </c>
      <c r="G4" s="34"/>
    </row>
    <row r="5" spans="3:7" ht="80.150000000000006" customHeight="1" x14ac:dyDescent="0.35">
      <c r="C5" s="31">
        <v>3</v>
      </c>
      <c r="D5" s="15" t="s">
        <v>24</v>
      </c>
      <c r="E5" s="29" t="s">
        <v>20</v>
      </c>
      <c r="F5" s="15" t="s">
        <v>25</v>
      </c>
      <c r="G5" s="32"/>
    </row>
    <row r="6" spans="3:7" ht="80.150000000000006" customHeight="1" x14ac:dyDescent="0.35">
      <c r="C6" s="33">
        <v>4</v>
      </c>
      <c r="D6" s="16" t="s">
        <v>26</v>
      </c>
      <c r="E6" s="30" t="s">
        <v>27</v>
      </c>
      <c r="F6" s="16" t="s">
        <v>28</v>
      </c>
      <c r="G6" s="34"/>
    </row>
    <row r="7" spans="3:7" ht="62.5" x14ac:dyDescent="0.35">
      <c r="C7" s="31">
        <v>5</v>
      </c>
      <c r="D7" s="15" t="s">
        <v>29</v>
      </c>
      <c r="E7" s="29" t="s">
        <v>30</v>
      </c>
      <c r="F7" s="15" t="s">
        <v>31</v>
      </c>
      <c r="G7" s="32"/>
    </row>
    <row r="8" spans="3:7" ht="62.5" x14ac:dyDescent="0.35">
      <c r="C8" s="33">
        <v>6</v>
      </c>
      <c r="D8" s="16" t="s">
        <v>32</v>
      </c>
      <c r="E8" s="30" t="s">
        <v>20</v>
      </c>
      <c r="F8" s="16" t="s">
        <v>33</v>
      </c>
      <c r="G8" s="34"/>
    </row>
    <row r="9" spans="3:7" ht="50" x14ac:dyDescent="0.35">
      <c r="C9" s="31">
        <v>7</v>
      </c>
      <c r="D9" s="15" t="s">
        <v>34</v>
      </c>
      <c r="E9" s="29" t="s">
        <v>35</v>
      </c>
      <c r="F9" s="15" t="s">
        <v>36</v>
      </c>
      <c r="G9" s="32"/>
    </row>
    <row r="10" spans="3:7" ht="71.150000000000006" customHeight="1" x14ac:dyDescent="0.35">
      <c r="C10" s="33">
        <v>8</v>
      </c>
      <c r="D10" s="16" t="s">
        <v>37</v>
      </c>
      <c r="E10" s="30" t="s">
        <v>20</v>
      </c>
      <c r="F10" s="16" t="s">
        <v>38</v>
      </c>
      <c r="G10" s="34"/>
    </row>
    <row r="11" spans="3:7" ht="38.5" customHeight="1" thickBot="1" x14ac:dyDescent="0.4">
      <c r="C11" s="93">
        <v>9</v>
      </c>
      <c r="D11" s="94" t="s">
        <v>417</v>
      </c>
      <c r="E11" s="95" t="s">
        <v>416</v>
      </c>
      <c r="F11" s="35" t="s">
        <v>418</v>
      </c>
      <c r="G11" s="96"/>
    </row>
  </sheetData>
  <mergeCells count="1">
    <mergeCell ref="C1:G1"/>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E91"/>
  <sheetViews>
    <sheetView showGridLines="0" zoomScale="114" workbookViewId="0">
      <pane ySplit="1" topLeftCell="A83" activePane="bottomLeft" state="frozen"/>
      <selection pane="bottomLeft" activeCell="F19" sqref="F19"/>
    </sheetView>
  </sheetViews>
  <sheetFormatPr defaultRowHeight="14.5" x14ac:dyDescent="0.35"/>
  <cols>
    <col min="2" max="2" width="6" style="42" customWidth="1"/>
    <col min="3" max="3" width="52" style="47" customWidth="1"/>
    <col min="4" max="4" width="30" style="42" customWidth="1"/>
    <col min="5" max="5" width="38" style="42" customWidth="1"/>
  </cols>
  <sheetData>
    <row r="1" spans="2:5" ht="46" customHeight="1" x14ac:dyDescent="0.35">
      <c r="B1" s="80"/>
      <c r="C1" s="80"/>
      <c r="D1" s="80"/>
      <c r="E1" s="80"/>
    </row>
    <row r="2" spans="2:5" ht="46" customHeight="1" x14ac:dyDescent="0.35">
      <c r="B2" s="43" t="s">
        <v>3</v>
      </c>
      <c r="C2" s="43" t="s">
        <v>39</v>
      </c>
      <c r="D2" s="43" t="s">
        <v>40</v>
      </c>
      <c r="E2" s="43" t="s">
        <v>41</v>
      </c>
    </row>
    <row r="3" spans="2:5" ht="19" customHeight="1" x14ac:dyDescent="0.5">
      <c r="B3" s="85" t="s">
        <v>42</v>
      </c>
      <c r="C3" s="85"/>
      <c r="D3" s="85"/>
      <c r="E3" s="85"/>
    </row>
    <row r="4" spans="2:5" ht="46" customHeight="1" x14ac:dyDescent="0.35">
      <c r="B4" s="44">
        <v>1</v>
      </c>
      <c r="C4" s="77" t="s">
        <v>43</v>
      </c>
      <c r="D4" s="48"/>
      <c r="E4" s="49"/>
    </row>
    <row r="5" spans="2:5" ht="36" customHeight="1" x14ac:dyDescent="0.35">
      <c r="B5" s="39">
        <v>2</v>
      </c>
      <c r="C5" s="38" t="s">
        <v>425</v>
      </c>
      <c r="D5" s="45"/>
      <c r="E5" s="50"/>
    </row>
    <row r="6" spans="2:5" ht="56.15" customHeight="1" x14ac:dyDescent="0.35">
      <c r="B6" s="39">
        <v>3</v>
      </c>
      <c r="C6" s="38" t="s">
        <v>44</v>
      </c>
      <c r="D6" s="45" t="s">
        <v>45</v>
      </c>
      <c r="E6" s="50"/>
    </row>
    <row r="7" spans="2:5" ht="46" customHeight="1" x14ac:dyDescent="0.35">
      <c r="B7" s="39">
        <v>4</v>
      </c>
      <c r="C7" s="99" t="s">
        <v>46</v>
      </c>
      <c r="D7" s="45" t="s">
        <v>47</v>
      </c>
      <c r="E7" s="50"/>
    </row>
    <row r="8" spans="2:5" ht="46" customHeight="1" x14ac:dyDescent="0.35">
      <c r="B8" s="39">
        <v>5</v>
      </c>
      <c r="C8" s="38" t="s">
        <v>48</v>
      </c>
      <c r="D8" s="45" t="s">
        <v>49</v>
      </c>
      <c r="E8" s="50"/>
    </row>
    <row r="9" spans="2:5" ht="46" customHeight="1" x14ac:dyDescent="0.35">
      <c r="B9" s="97">
        <v>6</v>
      </c>
      <c r="C9" s="98" t="s">
        <v>423</v>
      </c>
      <c r="D9" s="100" t="s">
        <v>47</v>
      </c>
      <c r="E9" s="45"/>
    </row>
    <row r="10" spans="2:5" ht="46" customHeight="1" x14ac:dyDescent="0.35">
      <c r="B10" s="97">
        <v>7</v>
      </c>
      <c r="C10" s="98" t="s">
        <v>424</v>
      </c>
      <c r="D10" s="100" t="s">
        <v>47</v>
      </c>
      <c r="E10" s="45"/>
    </row>
    <row r="11" spans="2:5" ht="19" customHeight="1" x14ac:dyDescent="0.45">
      <c r="B11" s="82" t="s">
        <v>50</v>
      </c>
      <c r="C11" s="83"/>
      <c r="D11" s="83"/>
      <c r="E11" s="84"/>
    </row>
    <row r="12" spans="2:5" ht="46" customHeight="1" x14ac:dyDescent="0.35">
      <c r="B12" s="39">
        <v>6</v>
      </c>
      <c r="C12" s="38" t="s">
        <v>51</v>
      </c>
      <c r="D12" s="45"/>
      <c r="E12" s="50"/>
    </row>
    <row r="13" spans="2:5" ht="46" customHeight="1" x14ac:dyDescent="0.35">
      <c r="B13" s="39">
        <v>7</v>
      </c>
      <c r="C13" s="38" t="s">
        <v>52</v>
      </c>
      <c r="D13" s="45"/>
      <c r="E13" s="50"/>
    </row>
    <row r="14" spans="2:5" ht="25" customHeight="1" x14ac:dyDescent="0.35">
      <c r="B14" s="39">
        <v>8</v>
      </c>
      <c r="C14" s="38" t="s">
        <v>53</v>
      </c>
      <c r="D14" s="45"/>
      <c r="E14" s="50"/>
    </row>
    <row r="15" spans="2:5" ht="36" customHeight="1" x14ac:dyDescent="0.35">
      <c r="B15" s="39">
        <v>9</v>
      </c>
      <c r="C15" s="38" t="s">
        <v>54</v>
      </c>
      <c r="D15" s="45"/>
      <c r="E15" s="50"/>
    </row>
    <row r="16" spans="2:5" ht="46" customHeight="1" x14ac:dyDescent="0.35">
      <c r="B16" s="39">
        <v>10</v>
      </c>
      <c r="C16" s="38" t="s">
        <v>55</v>
      </c>
      <c r="D16" s="45" t="s">
        <v>56</v>
      </c>
      <c r="E16" s="50"/>
    </row>
    <row r="17" spans="2:5" ht="46" customHeight="1" x14ac:dyDescent="0.35">
      <c r="B17" s="39">
        <v>11</v>
      </c>
      <c r="C17" s="38" t="s">
        <v>57</v>
      </c>
      <c r="D17" s="45" t="s">
        <v>58</v>
      </c>
      <c r="E17" s="50"/>
    </row>
    <row r="18" spans="2:5" ht="25.5" customHeight="1" x14ac:dyDescent="0.45">
      <c r="B18" s="82" t="s">
        <v>59</v>
      </c>
      <c r="C18" s="83"/>
      <c r="D18" s="83"/>
      <c r="E18" s="84"/>
    </row>
    <row r="19" spans="2:5" ht="46" customHeight="1" x14ac:dyDescent="0.35">
      <c r="B19" s="39">
        <v>12</v>
      </c>
      <c r="C19" s="38" t="s">
        <v>60</v>
      </c>
      <c r="D19" s="45"/>
      <c r="E19" s="50"/>
    </row>
    <row r="20" spans="2:5" ht="25" customHeight="1" x14ac:dyDescent="0.35">
      <c r="B20" s="39">
        <v>13</v>
      </c>
      <c r="C20" s="38" t="s">
        <v>61</v>
      </c>
      <c r="D20" s="45" t="s">
        <v>62</v>
      </c>
      <c r="E20" s="50"/>
    </row>
    <row r="21" spans="2:5" ht="20.149999999999999" customHeight="1" x14ac:dyDescent="0.35">
      <c r="B21" s="39">
        <v>14</v>
      </c>
      <c r="C21" s="38" t="s">
        <v>63</v>
      </c>
      <c r="D21" s="45"/>
      <c r="E21" s="50"/>
    </row>
    <row r="22" spans="2:5" ht="46" customHeight="1" x14ac:dyDescent="0.35">
      <c r="B22" s="39">
        <v>15</v>
      </c>
      <c r="C22" s="38" t="s">
        <v>64</v>
      </c>
      <c r="D22" s="45" t="s">
        <v>49</v>
      </c>
      <c r="E22" s="50"/>
    </row>
    <row r="23" spans="2:5" ht="46" customHeight="1" x14ac:dyDescent="0.35">
      <c r="B23" s="39">
        <v>16</v>
      </c>
      <c r="C23" s="38" t="s">
        <v>65</v>
      </c>
      <c r="D23" s="45" t="s">
        <v>49</v>
      </c>
      <c r="E23" s="50"/>
    </row>
    <row r="24" spans="2:5" ht="46" customHeight="1" x14ac:dyDescent="0.5">
      <c r="B24" s="86" t="s">
        <v>66</v>
      </c>
      <c r="C24" s="87"/>
      <c r="D24" s="87"/>
      <c r="E24" s="88"/>
    </row>
    <row r="25" spans="2:5" ht="46" customHeight="1" x14ac:dyDescent="0.35">
      <c r="B25" s="39">
        <v>17</v>
      </c>
      <c r="C25" s="38" t="s">
        <v>67</v>
      </c>
      <c r="D25" s="45" t="s">
        <v>56</v>
      </c>
      <c r="E25" s="50"/>
    </row>
    <row r="26" spans="2:5" ht="37.5" customHeight="1" x14ac:dyDescent="0.35">
      <c r="B26" s="39">
        <v>18</v>
      </c>
      <c r="C26" s="38" t="s">
        <v>68</v>
      </c>
      <c r="D26" s="45"/>
      <c r="E26" s="50"/>
    </row>
    <row r="27" spans="2:5" ht="33.65" customHeight="1" x14ac:dyDescent="0.35">
      <c r="B27" s="39">
        <v>19</v>
      </c>
      <c r="C27" s="38" t="s">
        <v>69</v>
      </c>
      <c r="D27" s="45" t="s">
        <v>49</v>
      </c>
      <c r="E27" s="50"/>
    </row>
    <row r="28" spans="2:5" ht="46" customHeight="1" x14ac:dyDescent="0.35">
      <c r="B28" s="39">
        <v>20</v>
      </c>
      <c r="C28" s="38" t="s">
        <v>70</v>
      </c>
      <c r="D28" s="45" t="s">
        <v>62</v>
      </c>
      <c r="E28" s="50"/>
    </row>
    <row r="29" spans="2:5" ht="46" customHeight="1" x14ac:dyDescent="0.35">
      <c r="B29" s="39">
        <v>21</v>
      </c>
      <c r="C29" s="38" t="s">
        <v>71</v>
      </c>
      <c r="D29" s="45" t="s">
        <v>72</v>
      </c>
      <c r="E29" s="50"/>
    </row>
    <row r="30" spans="2:5" ht="24" customHeight="1" x14ac:dyDescent="0.45">
      <c r="B30" s="82" t="s">
        <v>73</v>
      </c>
      <c r="C30" s="83"/>
      <c r="D30" s="83"/>
      <c r="E30" s="84"/>
    </row>
    <row r="31" spans="2:5" ht="46" customHeight="1" x14ac:dyDescent="0.35">
      <c r="B31" s="39">
        <v>22</v>
      </c>
      <c r="C31" s="38" t="s">
        <v>74</v>
      </c>
      <c r="D31" s="45" t="s">
        <v>56</v>
      </c>
      <c r="E31" s="50"/>
    </row>
    <row r="32" spans="2:5" ht="36" customHeight="1" x14ac:dyDescent="0.35">
      <c r="B32" s="39">
        <v>23</v>
      </c>
      <c r="C32" s="38" t="s">
        <v>75</v>
      </c>
      <c r="D32" s="45"/>
      <c r="E32" s="50"/>
    </row>
    <row r="33" spans="2:5" ht="37.5" customHeight="1" x14ac:dyDescent="0.35">
      <c r="B33" s="39">
        <v>24</v>
      </c>
      <c r="C33" s="38" t="s">
        <v>76</v>
      </c>
      <c r="D33" s="45"/>
      <c r="E33" s="50"/>
    </row>
    <row r="34" spans="2:5" ht="46" customHeight="1" x14ac:dyDescent="0.35">
      <c r="B34" s="39">
        <v>25</v>
      </c>
      <c r="C34" s="38" t="s">
        <v>77</v>
      </c>
      <c r="D34" s="45" t="s">
        <v>78</v>
      </c>
      <c r="E34" s="50"/>
    </row>
    <row r="35" spans="2:5" ht="46" customHeight="1" x14ac:dyDescent="0.35">
      <c r="B35" s="39">
        <v>26</v>
      </c>
      <c r="C35" s="38" t="s">
        <v>79</v>
      </c>
      <c r="D35" s="45"/>
      <c r="E35" s="50"/>
    </row>
    <row r="36" spans="2:5" ht="26.5" customHeight="1" x14ac:dyDescent="0.45">
      <c r="B36" s="82" t="s">
        <v>80</v>
      </c>
      <c r="C36" s="83"/>
      <c r="D36" s="83"/>
      <c r="E36" s="84"/>
    </row>
    <row r="37" spans="2:5" ht="46" customHeight="1" x14ac:dyDescent="0.35">
      <c r="B37" s="39">
        <v>27</v>
      </c>
      <c r="C37" s="38" t="s">
        <v>81</v>
      </c>
      <c r="D37" s="45" t="s">
        <v>72</v>
      </c>
      <c r="E37" s="50"/>
    </row>
    <row r="38" spans="2:5" ht="31.5" customHeight="1" x14ac:dyDescent="0.35">
      <c r="B38" s="39">
        <v>28</v>
      </c>
      <c r="C38" s="38" t="s">
        <v>82</v>
      </c>
      <c r="D38" s="45" t="s">
        <v>56</v>
      </c>
      <c r="E38" s="50"/>
    </row>
    <row r="39" spans="2:5" ht="38.15" customHeight="1" x14ac:dyDescent="0.35">
      <c r="B39" s="39">
        <v>29</v>
      </c>
      <c r="C39" s="38" t="s">
        <v>83</v>
      </c>
      <c r="D39" s="45"/>
      <c r="E39" s="50"/>
    </row>
    <row r="40" spans="2:5" ht="46" customHeight="1" x14ac:dyDescent="0.35">
      <c r="B40" s="39">
        <v>30</v>
      </c>
      <c r="C40" s="38" t="s">
        <v>84</v>
      </c>
      <c r="D40" s="45"/>
      <c r="E40" s="50"/>
    </row>
    <row r="41" spans="2:5" ht="46" customHeight="1" x14ac:dyDescent="0.35">
      <c r="B41" s="39">
        <v>31</v>
      </c>
      <c r="C41" s="38" t="s">
        <v>85</v>
      </c>
      <c r="D41" s="45" t="s">
        <v>86</v>
      </c>
      <c r="E41" s="50"/>
    </row>
    <row r="42" spans="2:5" ht="16.5" customHeight="1" x14ac:dyDescent="0.45">
      <c r="B42" s="82" t="s">
        <v>87</v>
      </c>
      <c r="C42" s="83"/>
      <c r="D42" s="83"/>
      <c r="E42" s="84"/>
    </row>
    <row r="43" spans="2:5" ht="46" customHeight="1" x14ac:dyDescent="0.35">
      <c r="B43" s="39">
        <v>32</v>
      </c>
      <c r="C43" s="38" t="s">
        <v>88</v>
      </c>
      <c r="D43" s="45"/>
      <c r="E43" s="50"/>
    </row>
    <row r="44" spans="2:5" ht="35.5" customHeight="1" x14ac:dyDescent="0.35">
      <c r="B44" s="39">
        <v>33</v>
      </c>
      <c r="C44" s="38" t="s">
        <v>89</v>
      </c>
      <c r="D44" s="45"/>
      <c r="E44" s="50"/>
    </row>
    <row r="45" spans="2:5" ht="40.5" customHeight="1" x14ac:dyDescent="0.35">
      <c r="B45" s="39">
        <v>34</v>
      </c>
      <c r="C45" s="38" t="s">
        <v>90</v>
      </c>
      <c r="D45" s="45" t="s">
        <v>49</v>
      </c>
      <c r="E45" s="50"/>
    </row>
    <row r="46" spans="2:5" ht="46" customHeight="1" x14ac:dyDescent="0.35">
      <c r="B46" s="39">
        <v>35</v>
      </c>
      <c r="C46" s="38" t="s">
        <v>91</v>
      </c>
      <c r="D46" s="45" t="s">
        <v>45</v>
      </c>
      <c r="E46" s="50"/>
    </row>
    <row r="47" spans="2:5" ht="46" customHeight="1" x14ac:dyDescent="0.35">
      <c r="B47" s="39">
        <v>36</v>
      </c>
      <c r="C47" s="38" t="s">
        <v>92</v>
      </c>
      <c r="D47" s="45" t="s">
        <v>93</v>
      </c>
      <c r="E47" s="50"/>
    </row>
    <row r="48" spans="2:5" ht="26.5" customHeight="1" x14ac:dyDescent="0.45">
      <c r="B48" s="82" t="s">
        <v>94</v>
      </c>
      <c r="C48" s="83"/>
      <c r="D48" s="83"/>
      <c r="E48" s="84"/>
    </row>
    <row r="49" spans="2:5" ht="46" customHeight="1" x14ac:dyDescent="0.35">
      <c r="B49" s="39">
        <v>37</v>
      </c>
      <c r="C49" s="38" t="s">
        <v>95</v>
      </c>
      <c r="D49" s="45" t="s">
        <v>72</v>
      </c>
      <c r="E49" s="50"/>
    </row>
    <row r="50" spans="2:5" ht="40" customHeight="1" x14ac:dyDescent="0.35">
      <c r="B50" s="39">
        <v>38</v>
      </c>
      <c r="C50" s="38" t="s">
        <v>96</v>
      </c>
      <c r="D50" s="45" t="s">
        <v>56</v>
      </c>
      <c r="E50" s="50"/>
    </row>
    <row r="51" spans="2:5" ht="48.65" customHeight="1" x14ac:dyDescent="0.35">
      <c r="B51" s="39">
        <v>39</v>
      </c>
      <c r="C51" s="38" t="s">
        <v>97</v>
      </c>
      <c r="D51" s="45"/>
      <c r="E51" s="50"/>
    </row>
    <row r="52" spans="2:5" ht="46" customHeight="1" x14ac:dyDescent="0.35">
      <c r="B52" s="39">
        <v>40</v>
      </c>
      <c r="C52" s="38" t="s">
        <v>98</v>
      </c>
      <c r="D52" s="45"/>
      <c r="E52" s="50"/>
    </row>
    <row r="53" spans="2:5" ht="46" customHeight="1" x14ac:dyDescent="0.35">
      <c r="B53" s="39">
        <v>41</v>
      </c>
      <c r="C53" s="38" t="s">
        <v>99</v>
      </c>
      <c r="D53" s="45" t="s">
        <v>45</v>
      </c>
      <c r="E53" s="50"/>
    </row>
    <row r="54" spans="2:5" ht="46" customHeight="1" x14ac:dyDescent="0.45">
      <c r="B54" s="82" t="s">
        <v>100</v>
      </c>
      <c r="C54" s="83"/>
      <c r="D54" s="83"/>
      <c r="E54" s="84"/>
    </row>
    <row r="55" spans="2:5" ht="46" customHeight="1" x14ac:dyDescent="0.35">
      <c r="B55" s="39">
        <v>42</v>
      </c>
      <c r="C55" s="38" t="s">
        <v>101</v>
      </c>
      <c r="D55" s="45" t="s">
        <v>72</v>
      </c>
      <c r="E55" s="50"/>
    </row>
    <row r="56" spans="2:5" ht="46" customHeight="1" x14ac:dyDescent="0.35">
      <c r="B56" s="39">
        <v>43</v>
      </c>
      <c r="C56" s="38" t="s">
        <v>102</v>
      </c>
      <c r="D56" s="45" t="s">
        <v>58</v>
      </c>
      <c r="E56" s="50"/>
    </row>
    <row r="57" spans="2:5" ht="32.15" customHeight="1" x14ac:dyDescent="0.35">
      <c r="B57" s="39">
        <v>44</v>
      </c>
      <c r="C57" s="38" t="s">
        <v>103</v>
      </c>
      <c r="D57" s="45"/>
      <c r="E57" s="50"/>
    </row>
    <row r="58" spans="2:5" ht="50.15" customHeight="1" x14ac:dyDescent="0.35">
      <c r="B58" s="39">
        <v>45</v>
      </c>
      <c r="C58" s="38" t="s">
        <v>104</v>
      </c>
      <c r="D58" s="45" t="s">
        <v>78</v>
      </c>
      <c r="E58" s="50"/>
    </row>
    <row r="59" spans="2:5" ht="46" customHeight="1" x14ac:dyDescent="0.35">
      <c r="B59" s="39">
        <v>46</v>
      </c>
      <c r="C59" s="38" t="s">
        <v>105</v>
      </c>
      <c r="D59" s="45"/>
      <c r="E59" s="50"/>
    </row>
    <row r="60" spans="2:5" ht="46" customHeight="1" x14ac:dyDescent="0.35">
      <c r="B60" s="39">
        <v>47</v>
      </c>
      <c r="C60" s="38" t="s">
        <v>106</v>
      </c>
      <c r="D60" s="45" t="s">
        <v>62</v>
      </c>
      <c r="E60" s="50"/>
    </row>
    <row r="61" spans="2:5" ht="23.5" customHeight="1" x14ac:dyDescent="0.45">
      <c r="B61" s="82" t="s">
        <v>107</v>
      </c>
      <c r="C61" s="83"/>
      <c r="D61" s="83"/>
      <c r="E61" s="84"/>
    </row>
    <row r="62" spans="2:5" ht="46" customHeight="1" x14ac:dyDescent="0.35">
      <c r="B62" s="39">
        <v>48</v>
      </c>
      <c r="C62" s="38" t="s">
        <v>108</v>
      </c>
      <c r="D62" s="45" t="s">
        <v>56</v>
      </c>
      <c r="E62" s="50"/>
    </row>
    <row r="63" spans="2:5" ht="46" customHeight="1" x14ac:dyDescent="0.35">
      <c r="B63" s="39">
        <v>49</v>
      </c>
      <c r="C63" s="38" t="s">
        <v>109</v>
      </c>
      <c r="D63" s="45"/>
      <c r="E63" s="50"/>
    </row>
    <row r="64" spans="2:5" ht="30" customHeight="1" x14ac:dyDescent="0.35">
      <c r="B64" s="39">
        <v>50</v>
      </c>
      <c r="C64" s="38" t="s">
        <v>110</v>
      </c>
      <c r="D64" s="45"/>
      <c r="E64" s="50"/>
    </row>
    <row r="65" spans="2:5" ht="20.149999999999999" customHeight="1" x14ac:dyDescent="0.35">
      <c r="B65" s="39">
        <v>51</v>
      </c>
      <c r="C65" s="38" t="s">
        <v>111</v>
      </c>
      <c r="D65" s="45" t="s">
        <v>49</v>
      </c>
      <c r="E65" s="50"/>
    </row>
    <row r="66" spans="2:5" ht="46" customHeight="1" x14ac:dyDescent="0.35">
      <c r="B66" s="39">
        <v>52</v>
      </c>
      <c r="C66" s="38" t="s">
        <v>112</v>
      </c>
      <c r="D66" s="45" t="s">
        <v>113</v>
      </c>
      <c r="E66" s="50"/>
    </row>
    <row r="67" spans="2:5" ht="46" customHeight="1" x14ac:dyDescent="0.35">
      <c r="B67" s="39">
        <v>53</v>
      </c>
      <c r="C67" s="38" t="s">
        <v>114</v>
      </c>
      <c r="D67" s="45" t="s">
        <v>56</v>
      </c>
      <c r="E67" s="50"/>
    </row>
    <row r="68" spans="2:5" ht="46" customHeight="1" x14ac:dyDescent="0.45">
      <c r="B68" s="82" t="s">
        <v>115</v>
      </c>
      <c r="C68" s="83"/>
      <c r="D68" s="83"/>
      <c r="E68" s="84"/>
    </row>
    <row r="69" spans="2:5" ht="46" customHeight="1" x14ac:dyDescent="0.35">
      <c r="B69" s="39">
        <v>54</v>
      </c>
      <c r="C69" s="38" t="s">
        <v>116</v>
      </c>
      <c r="D69" s="45" t="s">
        <v>72</v>
      </c>
      <c r="E69" s="50"/>
    </row>
    <row r="70" spans="2:5" ht="38.5" customHeight="1" x14ac:dyDescent="0.35">
      <c r="B70" s="39">
        <v>55</v>
      </c>
      <c r="C70" s="38" t="s">
        <v>117</v>
      </c>
      <c r="D70" s="45"/>
      <c r="E70" s="50"/>
    </row>
    <row r="71" spans="2:5" ht="49.5" customHeight="1" x14ac:dyDescent="0.35">
      <c r="B71" s="39">
        <v>56</v>
      </c>
      <c r="C71" s="38" t="s">
        <v>118</v>
      </c>
      <c r="D71" s="45"/>
      <c r="E71" s="50"/>
    </row>
    <row r="72" spans="2:5" ht="46" customHeight="1" x14ac:dyDescent="0.35">
      <c r="B72" s="39">
        <v>57</v>
      </c>
      <c r="C72" s="38" t="s">
        <v>119</v>
      </c>
      <c r="D72" s="45" t="s">
        <v>72</v>
      </c>
      <c r="E72" s="50"/>
    </row>
    <row r="73" spans="2:5" ht="46" customHeight="1" x14ac:dyDescent="0.35">
      <c r="B73" s="39">
        <v>58</v>
      </c>
      <c r="C73" s="38" t="s">
        <v>120</v>
      </c>
      <c r="D73" s="45" t="s">
        <v>56</v>
      </c>
      <c r="E73" s="50"/>
    </row>
    <row r="74" spans="2:5" ht="22" customHeight="1" x14ac:dyDescent="0.45">
      <c r="B74" s="82" t="s">
        <v>121</v>
      </c>
      <c r="C74" s="83"/>
      <c r="D74" s="83"/>
      <c r="E74" s="84"/>
    </row>
    <row r="75" spans="2:5" ht="46" customHeight="1" x14ac:dyDescent="0.35">
      <c r="B75" s="39">
        <v>59</v>
      </c>
      <c r="C75" s="38" t="s">
        <v>122</v>
      </c>
      <c r="D75" s="45"/>
      <c r="E75" s="50"/>
    </row>
    <row r="76" spans="2:5" ht="46" customHeight="1" x14ac:dyDescent="0.35">
      <c r="B76" s="39">
        <v>60</v>
      </c>
      <c r="C76" s="38" t="s">
        <v>123</v>
      </c>
      <c r="D76" s="45" t="s">
        <v>62</v>
      </c>
      <c r="E76" s="50"/>
    </row>
    <row r="77" spans="2:5" ht="48" customHeight="1" x14ac:dyDescent="0.35">
      <c r="B77" s="39">
        <v>61</v>
      </c>
      <c r="C77" s="38" t="s">
        <v>124</v>
      </c>
      <c r="D77" s="45" t="s">
        <v>86</v>
      </c>
      <c r="E77" s="50"/>
    </row>
    <row r="78" spans="2:5" ht="46" customHeight="1" x14ac:dyDescent="0.35">
      <c r="B78" s="39">
        <v>62</v>
      </c>
      <c r="C78" s="38" t="s">
        <v>125</v>
      </c>
      <c r="D78" s="45" t="s">
        <v>62</v>
      </c>
      <c r="E78" s="50"/>
    </row>
    <row r="79" spans="2:5" ht="46" customHeight="1" x14ac:dyDescent="0.35">
      <c r="B79" s="39">
        <v>63</v>
      </c>
      <c r="C79" s="38" t="s">
        <v>126</v>
      </c>
      <c r="D79" s="45" t="s">
        <v>86</v>
      </c>
      <c r="E79" s="50"/>
    </row>
    <row r="80" spans="2:5" ht="28" customHeight="1" x14ac:dyDescent="0.45">
      <c r="B80" s="82" t="s">
        <v>127</v>
      </c>
      <c r="C80" s="83"/>
      <c r="D80" s="83"/>
      <c r="E80" s="84"/>
    </row>
    <row r="81" spans="2:5" ht="46" customHeight="1" x14ac:dyDescent="0.35">
      <c r="B81" s="39">
        <v>64</v>
      </c>
      <c r="C81" s="38" t="s">
        <v>128</v>
      </c>
      <c r="D81" s="45"/>
      <c r="E81" s="50"/>
    </row>
    <row r="82" spans="2:5" ht="39" customHeight="1" x14ac:dyDescent="0.35">
      <c r="B82" s="39">
        <v>65</v>
      </c>
      <c r="C82" s="38" t="s">
        <v>129</v>
      </c>
      <c r="D82" s="45" t="s">
        <v>62</v>
      </c>
      <c r="E82" s="50"/>
    </row>
    <row r="83" spans="2:5" ht="49.5" customHeight="1" x14ac:dyDescent="0.35">
      <c r="B83" s="39">
        <v>66</v>
      </c>
      <c r="C83" s="38" t="s">
        <v>130</v>
      </c>
      <c r="D83" s="45"/>
      <c r="E83" s="50"/>
    </row>
    <row r="84" spans="2:5" ht="46" customHeight="1" x14ac:dyDescent="0.35">
      <c r="B84" s="39">
        <v>67</v>
      </c>
      <c r="C84" s="38" t="s">
        <v>131</v>
      </c>
      <c r="D84" s="45" t="s">
        <v>78</v>
      </c>
      <c r="E84" s="50"/>
    </row>
    <row r="85" spans="2:5" ht="46" customHeight="1" x14ac:dyDescent="0.35">
      <c r="B85" s="39">
        <v>68</v>
      </c>
      <c r="C85" s="38" t="s">
        <v>132</v>
      </c>
      <c r="D85" s="45"/>
      <c r="E85" s="50"/>
    </row>
    <row r="86" spans="2:5" ht="22.5" customHeight="1" x14ac:dyDescent="0.45">
      <c r="B86" s="82" t="s">
        <v>133</v>
      </c>
      <c r="C86" s="83"/>
      <c r="D86" s="83"/>
      <c r="E86" s="84"/>
    </row>
    <row r="87" spans="2:5" ht="46" customHeight="1" x14ac:dyDescent="0.35">
      <c r="B87" s="39">
        <v>69</v>
      </c>
      <c r="C87" s="38" t="s">
        <v>134</v>
      </c>
      <c r="D87" s="45"/>
      <c r="E87" s="50"/>
    </row>
    <row r="88" spans="2:5" ht="25.5" customHeight="1" x14ac:dyDescent="0.35">
      <c r="B88" s="39">
        <v>70</v>
      </c>
      <c r="C88" s="38" t="s">
        <v>135</v>
      </c>
      <c r="D88" s="45"/>
      <c r="E88" s="50"/>
    </row>
    <row r="89" spans="2:5" ht="25" x14ac:dyDescent="0.35">
      <c r="B89" s="39">
        <v>71</v>
      </c>
      <c r="C89" s="38" t="s">
        <v>136</v>
      </c>
      <c r="D89" s="45"/>
      <c r="E89" s="50"/>
    </row>
    <row r="90" spans="2:5" ht="25" x14ac:dyDescent="0.35">
      <c r="B90" s="39">
        <v>72</v>
      </c>
      <c r="C90" s="38" t="s">
        <v>137</v>
      </c>
      <c r="D90" s="45" t="s">
        <v>49</v>
      </c>
      <c r="E90" s="50"/>
    </row>
    <row r="91" spans="2:5" ht="25.5" thickBot="1" x14ac:dyDescent="0.4">
      <c r="B91" s="40">
        <v>73</v>
      </c>
      <c r="C91" s="41" t="s">
        <v>138</v>
      </c>
      <c r="D91" s="46"/>
      <c r="E91" s="51"/>
    </row>
  </sheetData>
  <mergeCells count="15">
    <mergeCell ref="B1:E1"/>
    <mergeCell ref="B3:E3"/>
    <mergeCell ref="B11:E11"/>
    <mergeCell ref="B18:E18"/>
    <mergeCell ref="B24:E24"/>
    <mergeCell ref="B30:E30"/>
    <mergeCell ref="B36:E36"/>
    <mergeCell ref="B42:E42"/>
    <mergeCell ref="B48:E48"/>
    <mergeCell ref="B54:E54"/>
    <mergeCell ref="B61:E61"/>
    <mergeCell ref="B68:E68"/>
    <mergeCell ref="B74:E74"/>
    <mergeCell ref="B80:E80"/>
    <mergeCell ref="B86:E8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57"/>
  <sheetViews>
    <sheetView showGridLines="0" zoomScale="102" workbookViewId="0">
      <pane xSplit="4" ySplit="1" topLeftCell="E2" activePane="bottomRight" state="frozen"/>
      <selection pane="topRight"/>
      <selection pane="bottomLeft"/>
      <selection pane="bottomRight" activeCell="D4" sqref="D4"/>
    </sheetView>
  </sheetViews>
  <sheetFormatPr defaultRowHeight="14.5" x14ac:dyDescent="0.35"/>
  <cols>
    <col min="1" max="1" width="4" customWidth="1"/>
    <col min="2" max="2" width="6" customWidth="1"/>
    <col min="3" max="3" width="30" customWidth="1"/>
    <col min="4" max="4" width="28" customWidth="1"/>
    <col min="5" max="5" width="42" customWidth="1"/>
    <col min="6" max="10" width="22" customWidth="1"/>
    <col min="11" max="11" width="14" customWidth="1"/>
    <col min="12" max="12" width="26" customWidth="1"/>
    <col min="13" max="13" width="42" customWidth="1"/>
  </cols>
  <sheetData>
    <row r="1" spans="1:13" ht="72" customHeight="1" x14ac:dyDescent="0.35">
      <c r="A1" s="80" t="s">
        <v>139</v>
      </c>
      <c r="B1" s="80"/>
      <c r="C1" s="80"/>
      <c r="D1" s="80"/>
      <c r="E1" s="80"/>
      <c r="F1" s="80"/>
      <c r="G1" s="80"/>
      <c r="H1" s="80"/>
      <c r="I1" s="80"/>
      <c r="J1" s="80"/>
      <c r="K1" s="80"/>
      <c r="L1" s="80"/>
      <c r="M1" s="80"/>
    </row>
    <row r="2" spans="1:13" ht="72" customHeight="1" x14ac:dyDescent="0.35">
      <c r="A2" s="1"/>
      <c r="B2" s="1" t="s">
        <v>3</v>
      </c>
      <c r="C2" s="1" t="s">
        <v>140</v>
      </c>
      <c r="D2" s="58" t="s">
        <v>141</v>
      </c>
      <c r="E2" s="1" t="s">
        <v>142</v>
      </c>
      <c r="F2" s="1" t="s">
        <v>143</v>
      </c>
      <c r="G2" s="1" t="s">
        <v>144</v>
      </c>
      <c r="H2" s="1" t="s">
        <v>145</v>
      </c>
      <c r="I2" s="1" t="s">
        <v>146</v>
      </c>
      <c r="J2" s="1" t="s">
        <v>147</v>
      </c>
      <c r="K2" s="1" t="s">
        <v>148</v>
      </c>
      <c r="L2" s="1" t="s">
        <v>149</v>
      </c>
      <c r="M2" s="1" t="s">
        <v>0</v>
      </c>
    </row>
    <row r="3" spans="1:13" ht="42" customHeight="1" x14ac:dyDescent="0.35">
      <c r="A3" s="89" t="s">
        <v>50</v>
      </c>
      <c r="B3" s="90"/>
      <c r="C3" s="90"/>
      <c r="D3" s="90"/>
      <c r="E3" s="90"/>
      <c r="F3" s="90"/>
      <c r="G3" s="90"/>
      <c r="H3" s="90"/>
      <c r="I3" s="90"/>
      <c r="J3" s="90"/>
      <c r="K3" s="90"/>
      <c r="L3" s="90"/>
      <c r="M3" s="91"/>
    </row>
    <row r="4" spans="1:13" ht="72" customHeight="1" x14ac:dyDescent="0.35">
      <c r="A4" s="53"/>
      <c r="B4" s="54">
        <v>1.1000000000000001</v>
      </c>
      <c r="C4" s="55" t="s">
        <v>150</v>
      </c>
      <c r="D4" s="53" t="s">
        <v>151</v>
      </c>
      <c r="E4" s="53" t="s">
        <v>152</v>
      </c>
      <c r="F4" s="53" t="s">
        <v>153</v>
      </c>
      <c r="G4" s="53" t="s">
        <v>154</v>
      </c>
      <c r="H4" s="53" t="s">
        <v>155</v>
      </c>
      <c r="I4" s="53" t="s">
        <v>156</v>
      </c>
      <c r="J4" s="53" t="s">
        <v>157</v>
      </c>
      <c r="K4" s="56"/>
      <c r="L4" s="53"/>
      <c r="M4" s="57" t="s">
        <v>158</v>
      </c>
    </row>
    <row r="5" spans="1:13" ht="72" customHeight="1" x14ac:dyDescent="0.35">
      <c r="A5" s="53"/>
      <c r="B5" s="54">
        <v>1.2</v>
      </c>
      <c r="C5" s="55" t="s">
        <v>150</v>
      </c>
      <c r="D5" s="53" t="s">
        <v>159</v>
      </c>
      <c r="E5" s="53" t="s">
        <v>160</v>
      </c>
      <c r="F5" s="53" t="s">
        <v>161</v>
      </c>
      <c r="G5" s="53" t="s">
        <v>162</v>
      </c>
      <c r="H5" s="53" t="s">
        <v>163</v>
      </c>
      <c r="I5" s="53" t="s">
        <v>164</v>
      </c>
      <c r="J5" s="53" t="s">
        <v>165</v>
      </c>
      <c r="K5" s="56"/>
      <c r="L5" s="53"/>
      <c r="M5" s="57" t="s">
        <v>166</v>
      </c>
    </row>
    <row r="6" spans="1:13" ht="48" customHeight="1" x14ac:dyDescent="0.35">
      <c r="A6" s="89" t="s">
        <v>59</v>
      </c>
      <c r="B6" s="90"/>
      <c r="C6" s="90"/>
      <c r="D6" s="90"/>
      <c r="E6" s="90"/>
      <c r="F6" s="90"/>
      <c r="G6" s="90"/>
      <c r="H6" s="90"/>
      <c r="I6" s="90"/>
      <c r="J6" s="90"/>
      <c r="K6" s="90"/>
      <c r="L6" s="90"/>
      <c r="M6" s="91"/>
    </row>
    <row r="7" spans="1:13" ht="72" customHeight="1" x14ac:dyDescent="0.35">
      <c r="A7" s="53"/>
      <c r="B7" s="54">
        <v>2.1</v>
      </c>
      <c r="C7" s="55" t="s">
        <v>167</v>
      </c>
      <c r="D7" s="53" t="s">
        <v>168</v>
      </c>
      <c r="E7" s="53" t="s">
        <v>169</v>
      </c>
      <c r="F7" s="53" t="s">
        <v>170</v>
      </c>
      <c r="G7" s="53" t="s">
        <v>171</v>
      </c>
      <c r="H7" s="53" t="s">
        <v>172</v>
      </c>
      <c r="I7" s="53" t="s">
        <v>173</v>
      </c>
      <c r="J7" s="53" t="s">
        <v>174</v>
      </c>
      <c r="K7" s="56"/>
      <c r="L7" s="53"/>
      <c r="M7" s="57" t="s">
        <v>175</v>
      </c>
    </row>
    <row r="8" spans="1:13" ht="72" customHeight="1" x14ac:dyDescent="0.35">
      <c r="A8" s="53"/>
      <c r="B8" s="54">
        <v>2.2000000000000002</v>
      </c>
      <c r="C8" s="55" t="s">
        <v>167</v>
      </c>
      <c r="D8" s="53" t="s">
        <v>176</v>
      </c>
      <c r="E8" s="53" t="s">
        <v>177</v>
      </c>
      <c r="F8" s="53" t="s">
        <v>178</v>
      </c>
      <c r="G8" s="53" t="s">
        <v>179</v>
      </c>
      <c r="H8" s="53" t="s">
        <v>180</v>
      </c>
      <c r="I8" s="53" t="s">
        <v>181</v>
      </c>
      <c r="J8" s="53" t="s">
        <v>182</v>
      </c>
      <c r="K8" s="56"/>
      <c r="L8" s="53"/>
      <c r="M8" s="57" t="s">
        <v>183</v>
      </c>
    </row>
    <row r="9" spans="1:13" ht="50.5" customHeight="1" x14ac:dyDescent="0.35">
      <c r="A9" s="89" t="s">
        <v>66</v>
      </c>
      <c r="B9" s="90"/>
      <c r="C9" s="90"/>
      <c r="D9" s="90"/>
      <c r="E9" s="90"/>
      <c r="F9" s="90"/>
      <c r="G9" s="90"/>
      <c r="H9" s="90"/>
      <c r="I9" s="90"/>
      <c r="J9" s="90"/>
      <c r="K9" s="90"/>
      <c r="L9" s="90"/>
      <c r="M9" s="91"/>
    </row>
    <row r="10" spans="1:13" ht="72" customHeight="1" x14ac:dyDescent="0.35">
      <c r="A10" s="53"/>
      <c r="B10" s="54">
        <v>3.1</v>
      </c>
      <c r="C10" s="55" t="s">
        <v>184</v>
      </c>
      <c r="D10" s="53" t="s">
        <v>185</v>
      </c>
      <c r="E10" s="53" t="s">
        <v>186</v>
      </c>
      <c r="F10" s="53" t="s">
        <v>187</v>
      </c>
      <c r="G10" s="53" t="s">
        <v>188</v>
      </c>
      <c r="H10" s="53" t="s">
        <v>189</v>
      </c>
      <c r="I10" s="53" t="s">
        <v>190</v>
      </c>
      <c r="J10" s="53" t="s">
        <v>191</v>
      </c>
      <c r="K10" s="56"/>
      <c r="L10" s="53"/>
      <c r="M10" s="57" t="s">
        <v>192</v>
      </c>
    </row>
    <row r="11" spans="1:13" ht="72" customHeight="1" x14ac:dyDescent="0.35">
      <c r="A11" s="53"/>
      <c r="B11" s="54">
        <v>3.2</v>
      </c>
      <c r="C11" s="55" t="s">
        <v>184</v>
      </c>
      <c r="D11" s="53" t="s">
        <v>193</v>
      </c>
      <c r="E11" s="53" t="s">
        <v>194</v>
      </c>
      <c r="F11" s="53" t="s">
        <v>195</v>
      </c>
      <c r="G11" s="53" t="s">
        <v>196</v>
      </c>
      <c r="H11" s="53" t="s">
        <v>197</v>
      </c>
      <c r="I11" s="53" t="s">
        <v>198</v>
      </c>
      <c r="J11" s="53" t="s">
        <v>199</v>
      </c>
      <c r="K11" s="56"/>
      <c r="L11" s="53"/>
      <c r="M11" s="57" t="s">
        <v>200</v>
      </c>
    </row>
    <row r="12" spans="1:13" ht="67" customHeight="1" x14ac:dyDescent="0.35">
      <c r="A12" s="89" t="s">
        <v>73</v>
      </c>
      <c r="B12" s="90"/>
      <c r="C12" s="90"/>
      <c r="D12" s="90"/>
      <c r="E12" s="90"/>
      <c r="F12" s="90"/>
      <c r="G12" s="90"/>
      <c r="H12" s="90"/>
      <c r="I12" s="90"/>
      <c r="J12" s="90"/>
      <c r="K12" s="90"/>
      <c r="L12" s="90"/>
      <c r="M12" s="91"/>
    </row>
    <row r="13" spans="1:13" ht="72" customHeight="1" x14ac:dyDescent="0.35">
      <c r="A13" s="53"/>
      <c r="B13" s="54">
        <v>4.0999999999999996</v>
      </c>
      <c r="C13" s="55" t="s">
        <v>201</v>
      </c>
      <c r="D13" s="53" t="s">
        <v>202</v>
      </c>
      <c r="E13" s="53" t="s">
        <v>203</v>
      </c>
      <c r="F13" s="53" t="s">
        <v>204</v>
      </c>
      <c r="G13" s="53" t="s">
        <v>205</v>
      </c>
      <c r="H13" s="53" t="s">
        <v>206</v>
      </c>
      <c r="I13" s="53" t="s">
        <v>207</v>
      </c>
      <c r="J13" s="53" t="s">
        <v>208</v>
      </c>
      <c r="K13" s="56"/>
      <c r="L13" s="53"/>
      <c r="M13" s="57" t="s">
        <v>209</v>
      </c>
    </row>
    <row r="14" spans="1:13" ht="72" customHeight="1" x14ac:dyDescent="0.35">
      <c r="A14" s="53"/>
      <c r="B14" s="54">
        <v>4.2</v>
      </c>
      <c r="C14" s="55" t="s">
        <v>201</v>
      </c>
      <c r="D14" s="53" t="s">
        <v>210</v>
      </c>
      <c r="E14" s="53" t="s">
        <v>211</v>
      </c>
      <c r="F14" s="53" t="s">
        <v>212</v>
      </c>
      <c r="G14" s="53" t="s">
        <v>213</v>
      </c>
      <c r="H14" s="53" t="s">
        <v>214</v>
      </c>
      <c r="I14" s="53" t="s">
        <v>215</v>
      </c>
      <c r="J14" s="53" t="s">
        <v>216</v>
      </c>
      <c r="K14" s="56"/>
      <c r="L14" s="53"/>
      <c r="M14" s="57" t="s">
        <v>217</v>
      </c>
    </row>
    <row r="15" spans="1:13" ht="67.5" customHeight="1" x14ac:dyDescent="0.35">
      <c r="A15" s="89" t="s">
        <v>80</v>
      </c>
      <c r="B15" s="90"/>
      <c r="C15" s="90"/>
      <c r="D15" s="90"/>
      <c r="E15" s="90"/>
      <c r="F15" s="90"/>
      <c r="G15" s="90"/>
      <c r="H15" s="90"/>
      <c r="I15" s="90"/>
      <c r="J15" s="90"/>
      <c r="K15" s="90"/>
      <c r="L15" s="90"/>
      <c r="M15" s="91"/>
    </row>
    <row r="16" spans="1:13" ht="72" customHeight="1" x14ac:dyDescent="0.35">
      <c r="A16" s="53"/>
      <c r="B16" s="54">
        <v>5.0999999999999996</v>
      </c>
      <c r="C16" s="55" t="s">
        <v>218</v>
      </c>
      <c r="D16" s="53" t="s">
        <v>219</v>
      </c>
      <c r="E16" s="53" t="s">
        <v>220</v>
      </c>
      <c r="F16" s="53" t="s">
        <v>153</v>
      </c>
      <c r="G16" s="53" t="s">
        <v>221</v>
      </c>
      <c r="H16" s="53" t="s">
        <v>222</v>
      </c>
      <c r="I16" s="53" t="s">
        <v>223</v>
      </c>
      <c r="J16" s="53" t="s">
        <v>224</v>
      </c>
      <c r="K16" s="56"/>
      <c r="L16" s="53"/>
      <c r="M16" s="57" t="s">
        <v>225</v>
      </c>
    </row>
    <row r="17" spans="1:13" ht="72" customHeight="1" x14ac:dyDescent="0.35">
      <c r="A17" s="52" t="s">
        <v>87</v>
      </c>
      <c r="B17" s="36"/>
      <c r="C17" s="36"/>
      <c r="D17" s="36"/>
      <c r="E17" s="36"/>
      <c r="F17" s="36"/>
      <c r="G17" s="36"/>
      <c r="H17" s="36"/>
      <c r="I17" s="36"/>
      <c r="J17" s="36"/>
      <c r="K17" s="36"/>
      <c r="L17" s="36"/>
      <c r="M17" s="37"/>
    </row>
    <row r="18" spans="1:13" ht="72" customHeight="1" x14ac:dyDescent="0.35">
      <c r="A18" s="53"/>
      <c r="B18" s="54">
        <v>6.1</v>
      </c>
      <c r="C18" s="55" t="s">
        <v>86</v>
      </c>
      <c r="D18" s="53" t="s">
        <v>226</v>
      </c>
      <c r="E18" s="53" t="s">
        <v>227</v>
      </c>
      <c r="F18" s="53" t="s">
        <v>228</v>
      </c>
      <c r="G18" s="53" t="s">
        <v>229</v>
      </c>
      <c r="H18" s="53" t="s">
        <v>230</v>
      </c>
      <c r="I18" s="53" t="s">
        <v>231</v>
      </c>
      <c r="J18" s="53" t="s">
        <v>232</v>
      </c>
      <c r="K18" s="56"/>
      <c r="L18" s="53"/>
      <c r="M18" s="57" t="s">
        <v>233</v>
      </c>
    </row>
    <row r="19" spans="1:13" ht="44.5" customHeight="1" x14ac:dyDescent="0.35">
      <c r="A19" s="89" t="s">
        <v>94</v>
      </c>
      <c r="B19" s="90"/>
      <c r="C19" s="90"/>
      <c r="D19" s="90"/>
      <c r="E19" s="90"/>
      <c r="F19" s="90"/>
      <c r="G19" s="90"/>
      <c r="H19" s="90"/>
      <c r="I19" s="90"/>
      <c r="J19" s="90"/>
      <c r="K19" s="90"/>
      <c r="L19" s="90"/>
      <c r="M19" s="91"/>
    </row>
    <row r="20" spans="1:13" ht="72" customHeight="1" x14ac:dyDescent="0.35">
      <c r="A20" s="53"/>
      <c r="B20" s="54">
        <v>7.1</v>
      </c>
      <c r="C20" s="55" t="s">
        <v>234</v>
      </c>
      <c r="D20" s="53" t="s">
        <v>235</v>
      </c>
      <c r="E20" s="53" t="s">
        <v>236</v>
      </c>
      <c r="F20" s="53" t="s">
        <v>237</v>
      </c>
      <c r="G20" s="53" t="s">
        <v>238</v>
      </c>
      <c r="H20" s="53" t="s">
        <v>239</v>
      </c>
      <c r="I20" s="53" t="s">
        <v>240</v>
      </c>
      <c r="J20" s="53" t="s">
        <v>241</v>
      </c>
      <c r="K20" s="56"/>
      <c r="L20" s="53"/>
      <c r="M20" s="57" t="s">
        <v>242</v>
      </c>
    </row>
    <row r="21" spans="1:13" ht="72" customHeight="1" x14ac:dyDescent="0.35">
      <c r="A21" s="53"/>
      <c r="B21" s="54">
        <v>7.2</v>
      </c>
      <c r="C21" s="55" t="s">
        <v>234</v>
      </c>
      <c r="D21" s="53" t="s">
        <v>243</v>
      </c>
      <c r="E21" s="53" t="s">
        <v>244</v>
      </c>
      <c r="F21" s="53" t="s">
        <v>245</v>
      </c>
      <c r="G21" s="53" t="s">
        <v>246</v>
      </c>
      <c r="H21" s="53" t="s">
        <v>247</v>
      </c>
      <c r="I21" s="53" t="s">
        <v>248</v>
      </c>
      <c r="J21" s="53" t="s">
        <v>249</v>
      </c>
      <c r="K21" s="56"/>
      <c r="L21" s="53"/>
      <c r="M21" s="57" t="s">
        <v>250</v>
      </c>
    </row>
    <row r="22" spans="1:13" ht="52" customHeight="1" x14ac:dyDescent="0.35">
      <c r="A22" s="89" t="s">
        <v>100</v>
      </c>
      <c r="B22" s="90"/>
      <c r="C22" s="90"/>
      <c r="D22" s="90"/>
      <c r="E22" s="90"/>
      <c r="F22" s="90"/>
      <c r="G22" s="90"/>
      <c r="H22" s="90"/>
      <c r="I22" s="90"/>
      <c r="J22" s="90"/>
      <c r="K22" s="90"/>
      <c r="L22" s="90"/>
      <c r="M22" s="91"/>
    </row>
    <row r="23" spans="1:13" ht="72" customHeight="1" x14ac:dyDescent="0.35">
      <c r="A23" s="53"/>
      <c r="B23" s="54">
        <v>8.1</v>
      </c>
      <c r="C23" s="55" t="s">
        <v>56</v>
      </c>
      <c r="D23" s="53" t="s">
        <v>251</v>
      </c>
      <c r="E23" s="53" t="s">
        <v>252</v>
      </c>
      <c r="F23" s="53" t="s">
        <v>253</v>
      </c>
      <c r="G23" s="53" t="s">
        <v>254</v>
      </c>
      <c r="H23" s="53" t="s">
        <v>255</v>
      </c>
      <c r="I23" s="53" t="s">
        <v>256</v>
      </c>
      <c r="J23" s="53" t="s">
        <v>257</v>
      </c>
      <c r="K23" s="56"/>
      <c r="L23" s="53"/>
      <c r="M23" s="57" t="s">
        <v>258</v>
      </c>
    </row>
    <row r="24" spans="1:13" ht="72" customHeight="1" x14ac:dyDescent="0.35">
      <c r="A24" s="53"/>
      <c r="B24" s="54">
        <v>8.1999999999999993</v>
      </c>
      <c r="C24" s="55" t="s">
        <v>56</v>
      </c>
      <c r="D24" s="53" t="s">
        <v>259</v>
      </c>
      <c r="E24" s="53" t="s">
        <v>260</v>
      </c>
      <c r="F24" s="53" t="s">
        <v>261</v>
      </c>
      <c r="G24" s="53" t="s">
        <v>262</v>
      </c>
      <c r="H24" s="53" t="s">
        <v>263</v>
      </c>
      <c r="I24" s="53" t="s">
        <v>264</v>
      </c>
      <c r="J24" s="53" t="s">
        <v>265</v>
      </c>
      <c r="K24" s="56"/>
      <c r="L24" s="53"/>
      <c r="M24" s="57" t="s">
        <v>266</v>
      </c>
    </row>
    <row r="25" spans="1:13" ht="63" customHeight="1" x14ac:dyDescent="0.35">
      <c r="A25" s="89" t="s">
        <v>107</v>
      </c>
      <c r="B25" s="90"/>
      <c r="C25" s="90"/>
      <c r="D25" s="90"/>
      <c r="E25" s="90"/>
      <c r="F25" s="90"/>
      <c r="G25" s="90"/>
      <c r="H25" s="90"/>
      <c r="I25" s="90"/>
      <c r="J25" s="90"/>
      <c r="K25" s="90"/>
      <c r="L25" s="90"/>
      <c r="M25" s="91"/>
    </row>
    <row r="26" spans="1:13" ht="72" customHeight="1" x14ac:dyDescent="0.35">
      <c r="A26" s="53"/>
      <c r="B26" s="54">
        <v>9.1</v>
      </c>
      <c r="C26" s="55" t="s">
        <v>267</v>
      </c>
      <c r="D26" s="53" t="s">
        <v>268</v>
      </c>
      <c r="E26" s="53" t="s">
        <v>269</v>
      </c>
      <c r="F26" s="53" t="s">
        <v>270</v>
      </c>
      <c r="G26" s="53" t="s">
        <v>271</v>
      </c>
      <c r="H26" s="53" t="s">
        <v>272</v>
      </c>
      <c r="I26" s="53" t="s">
        <v>273</v>
      </c>
      <c r="J26" s="53" t="s">
        <v>274</v>
      </c>
      <c r="K26" s="56"/>
      <c r="L26" s="53"/>
      <c r="M26" s="57" t="s">
        <v>275</v>
      </c>
    </row>
    <row r="27" spans="1:13" ht="72" customHeight="1" x14ac:dyDescent="0.35">
      <c r="A27" s="53"/>
      <c r="B27" s="54">
        <v>9.1999999999999993</v>
      </c>
      <c r="C27" s="55" t="s">
        <v>267</v>
      </c>
      <c r="D27" s="53" t="s">
        <v>276</v>
      </c>
      <c r="E27" s="53" t="s">
        <v>277</v>
      </c>
      <c r="F27" s="53" t="s">
        <v>278</v>
      </c>
      <c r="G27" s="53" t="s">
        <v>279</v>
      </c>
      <c r="H27" s="53" t="s">
        <v>280</v>
      </c>
      <c r="I27" s="53" t="s">
        <v>281</v>
      </c>
      <c r="J27" s="53" t="s">
        <v>282</v>
      </c>
      <c r="K27" s="56"/>
      <c r="L27" s="53"/>
      <c r="M27" s="57" t="s">
        <v>283</v>
      </c>
    </row>
    <row r="28" spans="1:13" ht="52" customHeight="1" x14ac:dyDescent="0.35">
      <c r="A28" s="89" t="s">
        <v>115</v>
      </c>
      <c r="B28" s="90"/>
      <c r="C28" s="90"/>
      <c r="D28" s="90"/>
      <c r="E28" s="90"/>
      <c r="F28" s="90"/>
      <c r="G28" s="90"/>
      <c r="H28" s="90"/>
      <c r="I28" s="90"/>
      <c r="J28" s="90"/>
      <c r="K28" s="90"/>
      <c r="L28" s="90"/>
      <c r="M28" s="91"/>
    </row>
    <row r="29" spans="1:13" ht="72" customHeight="1" x14ac:dyDescent="0.35">
      <c r="A29" s="53"/>
      <c r="B29" s="54">
        <v>10.1</v>
      </c>
      <c r="C29" s="55" t="s">
        <v>284</v>
      </c>
      <c r="D29" s="53" t="s">
        <v>285</v>
      </c>
      <c r="E29" s="53" t="s">
        <v>286</v>
      </c>
      <c r="F29" s="53" t="s">
        <v>287</v>
      </c>
      <c r="G29" s="53" t="s">
        <v>288</v>
      </c>
      <c r="H29" s="53" t="s">
        <v>289</v>
      </c>
      <c r="I29" s="53" t="s">
        <v>290</v>
      </c>
      <c r="J29" s="53" t="s">
        <v>291</v>
      </c>
      <c r="K29" s="56"/>
      <c r="L29" s="53"/>
      <c r="M29" s="57" t="s">
        <v>292</v>
      </c>
    </row>
    <row r="30" spans="1:13" ht="72" customHeight="1" x14ac:dyDescent="0.35">
      <c r="A30" s="53"/>
      <c r="B30" s="54">
        <v>10.199999999999999</v>
      </c>
      <c r="C30" s="55" t="s">
        <v>284</v>
      </c>
      <c r="D30" s="53" t="s">
        <v>293</v>
      </c>
      <c r="E30" s="53" t="s">
        <v>294</v>
      </c>
      <c r="F30" s="53" t="s">
        <v>295</v>
      </c>
      <c r="G30" s="53" t="s">
        <v>296</v>
      </c>
      <c r="H30" s="53" t="s">
        <v>297</v>
      </c>
      <c r="I30" s="53" t="s">
        <v>298</v>
      </c>
      <c r="J30" s="53" t="s">
        <v>299</v>
      </c>
      <c r="K30" s="56"/>
      <c r="L30" s="53"/>
      <c r="M30" s="57" t="s">
        <v>300</v>
      </c>
    </row>
    <row r="31" spans="1:13" ht="68.5" customHeight="1" x14ac:dyDescent="0.35">
      <c r="A31" s="89" t="s">
        <v>121</v>
      </c>
      <c r="B31" s="90"/>
      <c r="C31" s="90"/>
      <c r="D31" s="90"/>
      <c r="E31" s="90"/>
      <c r="F31" s="90"/>
      <c r="G31" s="90"/>
      <c r="H31" s="90"/>
      <c r="I31" s="90"/>
      <c r="J31" s="90"/>
      <c r="K31" s="90"/>
      <c r="L31" s="90"/>
      <c r="M31" s="91"/>
    </row>
    <row r="32" spans="1:13" ht="72" customHeight="1" x14ac:dyDescent="0.35">
      <c r="A32" s="53"/>
      <c r="B32" s="54">
        <v>11.1</v>
      </c>
      <c r="C32" s="55" t="s">
        <v>301</v>
      </c>
      <c r="D32" s="53" t="s">
        <v>302</v>
      </c>
      <c r="E32" s="53" t="s">
        <v>303</v>
      </c>
      <c r="F32" s="53" t="s">
        <v>304</v>
      </c>
      <c r="G32" s="53" t="s">
        <v>305</v>
      </c>
      <c r="H32" s="53" t="s">
        <v>306</v>
      </c>
      <c r="I32" s="53" t="s">
        <v>307</v>
      </c>
      <c r="J32" s="53" t="s">
        <v>308</v>
      </c>
      <c r="K32" s="56"/>
      <c r="L32" s="53"/>
      <c r="M32" s="57" t="s">
        <v>309</v>
      </c>
    </row>
    <row r="33" spans="1:13" ht="72" customHeight="1" x14ac:dyDescent="0.35">
      <c r="A33" s="53"/>
      <c r="B33" s="54">
        <v>11.2</v>
      </c>
      <c r="C33" s="55" t="s">
        <v>301</v>
      </c>
      <c r="D33" s="53" t="s">
        <v>310</v>
      </c>
      <c r="E33" s="53" t="s">
        <v>311</v>
      </c>
      <c r="F33" s="53" t="s">
        <v>312</v>
      </c>
      <c r="G33" s="53" t="s">
        <v>313</v>
      </c>
      <c r="H33" s="53" t="s">
        <v>314</v>
      </c>
      <c r="I33" s="53" t="s">
        <v>315</v>
      </c>
      <c r="J33" s="53" t="s">
        <v>316</v>
      </c>
      <c r="K33" s="56"/>
      <c r="L33" s="53"/>
      <c r="M33" s="57" t="s">
        <v>317</v>
      </c>
    </row>
    <row r="34" spans="1:13" ht="63" customHeight="1" x14ac:dyDescent="0.35">
      <c r="A34" s="89" t="s">
        <v>127</v>
      </c>
      <c r="B34" s="90"/>
      <c r="C34" s="90"/>
      <c r="D34" s="90"/>
      <c r="E34" s="90"/>
      <c r="F34" s="90"/>
      <c r="G34" s="90"/>
      <c r="H34" s="90"/>
      <c r="I34" s="90"/>
      <c r="J34" s="90"/>
      <c r="K34" s="90"/>
      <c r="L34" s="90"/>
      <c r="M34" s="91"/>
    </row>
    <row r="35" spans="1:13" ht="72" customHeight="1" x14ac:dyDescent="0.35">
      <c r="A35" s="53"/>
      <c r="B35" s="54">
        <v>12.1</v>
      </c>
      <c r="C35" s="55" t="s">
        <v>318</v>
      </c>
      <c r="D35" s="53" t="s">
        <v>319</v>
      </c>
      <c r="E35" s="53" t="s">
        <v>320</v>
      </c>
      <c r="F35" s="53" t="s">
        <v>321</v>
      </c>
      <c r="G35" s="53" t="s">
        <v>322</v>
      </c>
      <c r="H35" s="53" t="s">
        <v>323</v>
      </c>
      <c r="I35" s="53" t="s">
        <v>324</v>
      </c>
      <c r="J35" s="53" t="s">
        <v>325</v>
      </c>
      <c r="K35" s="56"/>
      <c r="L35" s="53"/>
      <c r="M35" s="57" t="s">
        <v>326</v>
      </c>
    </row>
    <row r="36" spans="1:13" ht="72" customHeight="1" x14ac:dyDescent="0.35">
      <c r="A36" s="53"/>
      <c r="B36" s="54">
        <v>12.2</v>
      </c>
      <c r="C36" s="55" t="s">
        <v>318</v>
      </c>
      <c r="D36" s="53" t="s">
        <v>327</v>
      </c>
      <c r="E36" s="53" t="s">
        <v>328</v>
      </c>
      <c r="F36" s="53" t="s">
        <v>329</v>
      </c>
      <c r="G36" s="53" t="s">
        <v>330</v>
      </c>
      <c r="H36" s="53" t="s">
        <v>331</v>
      </c>
      <c r="I36" s="53" t="s">
        <v>332</v>
      </c>
      <c r="J36" s="53" t="s">
        <v>333</v>
      </c>
      <c r="K36" s="56"/>
      <c r="L36" s="53"/>
      <c r="M36" s="57" t="s">
        <v>334</v>
      </c>
    </row>
    <row r="37" spans="1:13" ht="64" customHeight="1" x14ac:dyDescent="0.35">
      <c r="A37" s="89" t="s">
        <v>133</v>
      </c>
      <c r="B37" s="90"/>
      <c r="C37" s="90"/>
      <c r="D37" s="90"/>
      <c r="E37" s="90"/>
      <c r="F37" s="90"/>
      <c r="G37" s="90"/>
      <c r="H37" s="90"/>
      <c r="I37" s="90"/>
      <c r="J37" s="90"/>
      <c r="K37" s="90"/>
      <c r="L37" s="90"/>
      <c r="M37" s="91"/>
    </row>
    <row r="38" spans="1:13" ht="25" x14ac:dyDescent="0.35">
      <c r="A38" s="53"/>
      <c r="B38" s="54">
        <v>13.1</v>
      </c>
      <c r="C38" s="55" t="s">
        <v>335</v>
      </c>
      <c r="D38" s="53" t="s">
        <v>336</v>
      </c>
      <c r="E38" s="53" t="s">
        <v>337</v>
      </c>
      <c r="F38" s="53" t="s">
        <v>338</v>
      </c>
      <c r="G38" s="53" t="s">
        <v>339</v>
      </c>
      <c r="H38" s="53" t="s">
        <v>340</v>
      </c>
      <c r="I38" s="53" t="s">
        <v>341</v>
      </c>
      <c r="J38" s="53" t="s">
        <v>342</v>
      </c>
      <c r="K38" s="56"/>
      <c r="L38" s="53"/>
      <c r="M38" s="57" t="s">
        <v>343</v>
      </c>
    </row>
    <row r="39" spans="1:13" ht="36" x14ac:dyDescent="0.35">
      <c r="A39" s="53"/>
      <c r="B39" s="54">
        <v>13.2</v>
      </c>
      <c r="C39" s="55" t="s">
        <v>335</v>
      </c>
      <c r="D39" s="53" t="s">
        <v>344</v>
      </c>
      <c r="E39" s="53" t="s">
        <v>345</v>
      </c>
      <c r="F39" s="53" t="s">
        <v>346</v>
      </c>
      <c r="G39" s="53" t="s">
        <v>347</v>
      </c>
      <c r="H39" s="53" t="s">
        <v>348</v>
      </c>
      <c r="I39" s="53" t="s">
        <v>349</v>
      </c>
      <c r="J39" s="53" t="s">
        <v>350</v>
      </c>
      <c r="K39" s="56"/>
      <c r="L39" s="53"/>
      <c r="M39" s="57" t="s">
        <v>351</v>
      </c>
    </row>
    <row r="40" spans="1:13" ht="37.5" x14ac:dyDescent="0.35">
      <c r="A40" s="53"/>
      <c r="B40" s="54">
        <v>13.3</v>
      </c>
      <c r="C40" s="55" t="s">
        <v>335</v>
      </c>
      <c r="D40" s="53" t="s">
        <v>352</v>
      </c>
      <c r="E40" s="53" t="s">
        <v>353</v>
      </c>
      <c r="F40" s="53" t="s">
        <v>354</v>
      </c>
      <c r="G40" s="53" t="s">
        <v>355</v>
      </c>
      <c r="H40" s="53" t="s">
        <v>356</v>
      </c>
      <c r="I40" s="53" t="s">
        <v>357</v>
      </c>
      <c r="J40" s="53" t="s">
        <v>358</v>
      </c>
      <c r="K40" s="56"/>
      <c r="L40" s="53"/>
      <c r="M40" s="57" t="s">
        <v>359</v>
      </c>
    </row>
    <row r="41" spans="1:13" x14ac:dyDescent="0.35">
      <c r="A41" s="13"/>
      <c r="B41" s="13"/>
      <c r="C41" s="13"/>
      <c r="D41" s="13"/>
      <c r="E41" s="13"/>
      <c r="F41" s="13"/>
      <c r="G41" s="13"/>
      <c r="H41" s="13"/>
      <c r="I41" s="13"/>
      <c r="J41" s="13"/>
      <c r="K41" s="13"/>
      <c r="L41" s="13"/>
      <c r="M41" s="13"/>
    </row>
    <row r="42" spans="1:13" x14ac:dyDescent="0.35">
      <c r="A42" s="13"/>
      <c r="B42" s="13"/>
      <c r="C42" s="13"/>
      <c r="D42" s="13"/>
      <c r="E42" s="13"/>
      <c r="F42" s="13"/>
      <c r="G42" s="13"/>
      <c r="H42" s="13"/>
      <c r="I42" s="13"/>
      <c r="J42" s="13"/>
      <c r="K42" s="13"/>
      <c r="L42" s="13"/>
      <c r="M42" s="13"/>
    </row>
    <row r="43" spans="1:13" x14ac:dyDescent="0.35">
      <c r="A43" s="13"/>
      <c r="B43" s="13"/>
      <c r="C43" s="13"/>
      <c r="D43" s="13"/>
      <c r="E43" s="13"/>
      <c r="F43" s="13"/>
      <c r="G43" s="13"/>
      <c r="H43" s="13"/>
      <c r="I43" s="13"/>
      <c r="J43" s="13"/>
      <c r="K43" s="13"/>
      <c r="L43" s="13"/>
      <c r="M43" s="13"/>
    </row>
    <row r="44" spans="1:13" x14ac:dyDescent="0.35">
      <c r="A44" s="13"/>
      <c r="B44" s="13"/>
      <c r="C44" s="13"/>
      <c r="D44" s="13"/>
      <c r="E44" s="13"/>
      <c r="F44" s="13"/>
      <c r="G44" s="13"/>
      <c r="H44" s="13"/>
      <c r="I44" s="13"/>
      <c r="J44" s="13"/>
      <c r="K44" s="13"/>
      <c r="L44" s="13"/>
      <c r="M44" s="13"/>
    </row>
    <row r="45" spans="1:13" x14ac:dyDescent="0.35">
      <c r="A45" s="13"/>
      <c r="B45" s="13"/>
      <c r="C45" s="13"/>
      <c r="D45" s="13"/>
      <c r="E45" s="13"/>
      <c r="F45" s="13"/>
      <c r="G45" s="13"/>
      <c r="H45" s="13"/>
      <c r="I45" s="13"/>
      <c r="J45" s="13"/>
      <c r="K45" s="13"/>
      <c r="L45" s="13"/>
      <c r="M45" s="13"/>
    </row>
    <row r="46" spans="1:13" x14ac:dyDescent="0.35">
      <c r="A46" s="13"/>
      <c r="B46" s="13"/>
      <c r="C46" s="13"/>
      <c r="D46" s="13"/>
      <c r="E46" s="13"/>
      <c r="F46" s="13"/>
      <c r="G46" s="13"/>
      <c r="H46" s="13"/>
      <c r="I46" s="13"/>
      <c r="J46" s="13"/>
      <c r="K46" s="13"/>
      <c r="L46" s="13"/>
      <c r="M46" s="13"/>
    </row>
    <row r="47" spans="1:13" x14ac:dyDescent="0.35">
      <c r="A47" s="13"/>
      <c r="B47" s="13"/>
      <c r="C47" s="13"/>
      <c r="D47" s="13"/>
      <c r="E47" s="13"/>
      <c r="F47" s="13"/>
      <c r="G47" s="13"/>
      <c r="H47" s="13"/>
      <c r="I47" s="13"/>
      <c r="J47" s="13"/>
      <c r="K47" s="13"/>
      <c r="L47" s="13"/>
      <c r="M47" s="13"/>
    </row>
    <row r="48" spans="1:13" x14ac:dyDescent="0.35">
      <c r="A48" s="13"/>
      <c r="B48" s="13"/>
      <c r="C48" s="13"/>
      <c r="D48" s="13"/>
      <c r="E48" s="13"/>
      <c r="F48" s="13"/>
      <c r="G48" s="13"/>
      <c r="H48" s="13"/>
      <c r="I48" s="13"/>
      <c r="J48" s="13"/>
      <c r="K48" s="13"/>
      <c r="L48" s="13"/>
      <c r="M48" s="13"/>
    </row>
    <row r="49" spans="1:13" x14ac:dyDescent="0.35">
      <c r="A49" s="13"/>
      <c r="B49" s="13"/>
      <c r="C49" s="13"/>
      <c r="D49" s="13"/>
      <c r="E49" s="13"/>
      <c r="F49" s="13"/>
      <c r="G49" s="13"/>
      <c r="H49" s="13"/>
      <c r="I49" s="13"/>
      <c r="J49" s="13"/>
      <c r="K49" s="13"/>
      <c r="L49" s="13"/>
      <c r="M49" s="13"/>
    </row>
    <row r="50" spans="1:13" x14ac:dyDescent="0.35">
      <c r="A50" s="13"/>
      <c r="B50" s="13"/>
      <c r="C50" s="13"/>
      <c r="D50" s="13"/>
      <c r="E50" s="13"/>
      <c r="F50" s="13"/>
      <c r="G50" s="13"/>
      <c r="H50" s="13"/>
      <c r="I50" s="13"/>
      <c r="J50" s="13"/>
      <c r="K50" s="13"/>
      <c r="L50" s="13"/>
      <c r="M50" s="13"/>
    </row>
    <row r="51" spans="1:13" x14ac:dyDescent="0.35">
      <c r="A51" s="13"/>
      <c r="B51" s="13"/>
      <c r="C51" s="13"/>
      <c r="D51" s="13"/>
      <c r="E51" s="13"/>
      <c r="F51" s="13"/>
      <c r="G51" s="13"/>
      <c r="H51" s="13"/>
      <c r="I51" s="13"/>
      <c r="J51" s="13"/>
      <c r="K51" s="13"/>
      <c r="L51" s="13"/>
      <c r="M51" s="13"/>
    </row>
    <row r="52" spans="1:13" x14ac:dyDescent="0.35">
      <c r="A52" s="13"/>
      <c r="B52" s="13"/>
      <c r="C52" s="13"/>
      <c r="D52" s="13"/>
      <c r="E52" s="13"/>
      <c r="F52" s="13"/>
      <c r="G52" s="13"/>
      <c r="H52" s="13"/>
      <c r="I52" s="13"/>
      <c r="J52" s="13"/>
      <c r="K52" s="13"/>
      <c r="L52" s="13"/>
      <c r="M52" s="13"/>
    </row>
    <row r="53" spans="1:13" x14ac:dyDescent="0.35">
      <c r="A53" s="13"/>
      <c r="B53" s="13"/>
      <c r="C53" s="13"/>
      <c r="D53" s="13"/>
      <c r="E53" s="13"/>
      <c r="F53" s="13"/>
      <c r="G53" s="13"/>
      <c r="H53" s="13"/>
      <c r="I53" s="13"/>
      <c r="J53" s="13"/>
      <c r="K53" s="13"/>
      <c r="L53" s="13"/>
      <c r="M53" s="13"/>
    </row>
    <row r="54" spans="1:13" x14ac:dyDescent="0.35">
      <c r="A54" s="13"/>
      <c r="B54" s="13"/>
      <c r="C54" s="13"/>
      <c r="D54" s="13"/>
      <c r="E54" s="13"/>
      <c r="F54" s="13"/>
      <c r="G54" s="13"/>
      <c r="H54" s="13"/>
      <c r="I54" s="13"/>
      <c r="J54" s="13"/>
      <c r="K54" s="13"/>
      <c r="L54" s="13"/>
      <c r="M54" s="13"/>
    </row>
    <row r="55" spans="1:13" x14ac:dyDescent="0.35">
      <c r="A55" s="13"/>
      <c r="B55" s="13"/>
      <c r="C55" s="13"/>
      <c r="D55" s="13"/>
      <c r="E55" s="13"/>
      <c r="F55" s="13"/>
      <c r="G55" s="13"/>
      <c r="H55" s="13"/>
      <c r="I55" s="13"/>
      <c r="J55" s="13"/>
      <c r="K55" s="13"/>
      <c r="L55" s="13"/>
      <c r="M55" s="13"/>
    </row>
    <row r="56" spans="1:13" x14ac:dyDescent="0.35">
      <c r="A56" s="13"/>
      <c r="B56" s="13"/>
      <c r="C56" s="13"/>
      <c r="D56" s="13"/>
      <c r="E56" s="13"/>
      <c r="F56" s="13"/>
      <c r="G56" s="13"/>
      <c r="H56" s="13"/>
      <c r="I56" s="13"/>
      <c r="J56" s="13"/>
      <c r="K56" s="13"/>
      <c r="L56" s="13"/>
      <c r="M56" s="13"/>
    </row>
    <row r="57" spans="1:13" x14ac:dyDescent="0.35">
      <c r="A57" s="13"/>
      <c r="B57" s="13"/>
      <c r="C57" s="13"/>
      <c r="D57" s="13"/>
      <c r="E57" s="13"/>
      <c r="F57" s="13"/>
      <c r="G57" s="13"/>
      <c r="H57" s="13"/>
      <c r="I57" s="13"/>
      <c r="J57" s="13"/>
      <c r="K57" s="13"/>
      <c r="L57" s="13"/>
      <c r="M57" s="13"/>
    </row>
  </sheetData>
  <mergeCells count="13">
    <mergeCell ref="A1:M1"/>
    <mergeCell ref="A31:M31"/>
    <mergeCell ref="A6:M6"/>
    <mergeCell ref="A12:M12"/>
    <mergeCell ref="A9:M9"/>
    <mergeCell ref="A19:M19"/>
    <mergeCell ref="A22:M22"/>
    <mergeCell ref="A3:M3"/>
    <mergeCell ref="A37:M37"/>
    <mergeCell ref="A15:M15"/>
    <mergeCell ref="A28:M28"/>
    <mergeCell ref="A34:M34"/>
    <mergeCell ref="A25:M2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8"/>
  <sheetViews>
    <sheetView showGridLines="0" workbookViewId="0">
      <pane ySplit="1" topLeftCell="A12" activePane="bottomLeft" state="frozen"/>
      <selection pane="bottomLeft" activeCell="B18" sqref="B18:C18"/>
    </sheetView>
  </sheetViews>
  <sheetFormatPr defaultRowHeight="14.5" x14ac:dyDescent="0.35"/>
  <cols>
    <col min="1" max="1" width="4" customWidth="1"/>
    <col min="2" max="2" width="18.26953125" customWidth="1"/>
    <col min="3" max="3" width="36" customWidth="1"/>
    <col min="4" max="5" width="14" customWidth="1"/>
    <col min="6" max="6" width="10" customWidth="1"/>
    <col min="7" max="7" width="14" customWidth="1"/>
    <col min="8" max="9" width="46" customWidth="1"/>
  </cols>
  <sheetData>
    <row r="1" spans="1:9" ht="80.150000000000006" customHeight="1" x14ac:dyDescent="0.35">
      <c r="A1" s="80" t="s">
        <v>360</v>
      </c>
      <c r="B1" s="80"/>
      <c r="C1" s="80"/>
      <c r="D1" s="80"/>
      <c r="E1" s="80"/>
      <c r="F1" s="80"/>
      <c r="G1" s="80"/>
      <c r="H1" s="80"/>
      <c r="I1" s="80"/>
    </row>
    <row r="2" spans="1:9" ht="80.150000000000006" customHeight="1" x14ac:dyDescent="0.35">
      <c r="A2" s="1"/>
      <c r="B2" s="1" t="s">
        <v>3</v>
      </c>
      <c r="C2" s="1" t="s">
        <v>140</v>
      </c>
      <c r="D2" s="1" t="s">
        <v>361</v>
      </c>
      <c r="E2" s="1" t="s">
        <v>362</v>
      </c>
      <c r="F2" s="1" t="s">
        <v>363</v>
      </c>
      <c r="G2" s="58" t="s">
        <v>364</v>
      </c>
      <c r="H2" s="1" t="s">
        <v>365</v>
      </c>
      <c r="I2" s="1" t="s">
        <v>366</v>
      </c>
    </row>
    <row r="3" spans="1:9" ht="80.150000000000006" customHeight="1" x14ac:dyDescent="0.35">
      <c r="A3" s="2"/>
      <c r="B3" s="54">
        <v>1</v>
      </c>
      <c r="C3" s="59" t="s">
        <v>150</v>
      </c>
      <c r="D3" s="56"/>
      <c r="E3" s="56"/>
      <c r="F3" s="56" t="str">
        <f>IF(AND(ISNUMBER(#REF!),ISNUMBER(#REF!)),#REF!-#REF!,"")</f>
        <v/>
      </c>
      <c r="G3" s="54"/>
      <c r="H3" s="60"/>
      <c r="I3" s="60"/>
    </row>
    <row r="4" spans="1:9" ht="80.150000000000006" customHeight="1" x14ac:dyDescent="0.35">
      <c r="A4" s="2"/>
      <c r="B4" s="54">
        <v>2</v>
      </c>
      <c r="C4" s="59" t="s">
        <v>167</v>
      </c>
      <c r="D4" s="56"/>
      <c r="E4" s="56"/>
      <c r="F4" s="56" t="str">
        <f>IF(AND(ISNUMBER(#REF!),ISNUMBER(#REF!)),#REF!-#REF!,"")</f>
        <v/>
      </c>
      <c r="G4" s="54"/>
      <c r="H4" s="60"/>
      <c r="I4" s="60"/>
    </row>
    <row r="5" spans="1:9" ht="80.150000000000006" customHeight="1" x14ac:dyDescent="0.35">
      <c r="A5" s="2"/>
      <c r="B5" s="54">
        <v>3</v>
      </c>
      <c r="C5" s="59" t="s">
        <v>184</v>
      </c>
      <c r="D5" s="56"/>
      <c r="E5" s="56"/>
      <c r="F5" s="56" t="str">
        <f t="shared" ref="F5:F15" si="0">IF(AND(ISNUMBER(D1),ISNUMBER(E1)),E1-D1,"")</f>
        <v/>
      </c>
      <c r="G5" s="54"/>
      <c r="H5" s="60"/>
      <c r="I5" s="60"/>
    </row>
    <row r="6" spans="1:9" ht="80.150000000000006" customHeight="1" x14ac:dyDescent="0.35">
      <c r="A6" s="2"/>
      <c r="B6" s="54">
        <v>4</v>
      </c>
      <c r="C6" s="59" t="s">
        <v>201</v>
      </c>
      <c r="D6" s="56"/>
      <c r="E6" s="56"/>
      <c r="F6" s="56" t="str">
        <f t="shared" si="0"/>
        <v/>
      </c>
      <c r="G6" s="54"/>
      <c r="H6" s="60"/>
      <c r="I6" s="60"/>
    </row>
    <row r="7" spans="1:9" ht="80.150000000000006" customHeight="1" x14ac:dyDescent="0.35">
      <c r="A7" s="2"/>
      <c r="B7" s="54">
        <v>5</v>
      </c>
      <c r="C7" s="59" t="s">
        <v>218</v>
      </c>
      <c r="D7" s="56"/>
      <c r="E7" s="56"/>
      <c r="F7" s="56" t="str">
        <f t="shared" si="0"/>
        <v/>
      </c>
      <c r="G7" s="54"/>
      <c r="H7" s="60"/>
      <c r="I7" s="60"/>
    </row>
    <row r="8" spans="1:9" ht="80.150000000000006" customHeight="1" x14ac:dyDescent="0.35">
      <c r="A8" s="2"/>
      <c r="B8" s="54">
        <v>6</v>
      </c>
      <c r="C8" s="59" t="s">
        <v>86</v>
      </c>
      <c r="D8" s="56"/>
      <c r="E8" s="56"/>
      <c r="F8" s="56" t="str">
        <f t="shared" si="0"/>
        <v/>
      </c>
      <c r="G8" s="54"/>
      <c r="H8" s="60"/>
      <c r="I8" s="60"/>
    </row>
    <row r="9" spans="1:9" ht="80.150000000000006" customHeight="1" x14ac:dyDescent="0.35">
      <c r="A9" s="2"/>
      <c r="B9" s="54">
        <v>7</v>
      </c>
      <c r="C9" s="59" t="s">
        <v>234</v>
      </c>
      <c r="D9" s="56"/>
      <c r="E9" s="56"/>
      <c r="F9" s="56" t="str">
        <f t="shared" si="0"/>
        <v/>
      </c>
      <c r="G9" s="54"/>
      <c r="H9" s="60"/>
      <c r="I9" s="60"/>
    </row>
    <row r="10" spans="1:9" ht="80.150000000000006" customHeight="1" x14ac:dyDescent="0.35">
      <c r="A10" s="2"/>
      <c r="B10" s="54">
        <v>8</v>
      </c>
      <c r="C10" s="59" t="s">
        <v>56</v>
      </c>
      <c r="D10" s="56"/>
      <c r="E10" s="56"/>
      <c r="F10" s="56" t="str">
        <f t="shared" si="0"/>
        <v/>
      </c>
      <c r="G10" s="54"/>
      <c r="H10" s="60"/>
      <c r="I10" s="60"/>
    </row>
    <row r="11" spans="1:9" ht="80.150000000000006" customHeight="1" x14ac:dyDescent="0.35">
      <c r="A11" s="2"/>
      <c r="B11" s="54">
        <v>9</v>
      </c>
      <c r="C11" s="59" t="s">
        <v>267</v>
      </c>
      <c r="D11" s="56"/>
      <c r="E11" s="56"/>
      <c r="F11" s="56" t="str">
        <f t="shared" si="0"/>
        <v/>
      </c>
      <c r="G11" s="54"/>
      <c r="H11" s="60"/>
      <c r="I11" s="60"/>
    </row>
    <row r="12" spans="1:9" ht="36.65" customHeight="1" x14ac:dyDescent="0.35">
      <c r="A12" s="2"/>
      <c r="B12" s="54">
        <v>10</v>
      </c>
      <c r="C12" s="59" t="s">
        <v>284</v>
      </c>
      <c r="D12" s="56"/>
      <c r="E12" s="56"/>
      <c r="F12" s="56" t="str">
        <f t="shared" si="0"/>
        <v/>
      </c>
      <c r="G12" s="54"/>
      <c r="H12" s="60"/>
      <c r="I12" s="60"/>
    </row>
    <row r="13" spans="1:9" ht="29.15" customHeight="1" x14ac:dyDescent="0.35">
      <c r="A13" s="2"/>
      <c r="B13" s="54">
        <v>11</v>
      </c>
      <c r="C13" s="59" t="s">
        <v>301</v>
      </c>
      <c r="D13" s="56"/>
      <c r="E13" s="56"/>
      <c r="F13" s="56" t="str">
        <f t="shared" si="0"/>
        <v/>
      </c>
      <c r="G13" s="54"/>
      <c r="H13" s="60"/>
      <c r="I13" s="60"/>
    </row>
    <row r="14" spans="1:9" ht="56.15" customHeight="1" x14ac:dyDescent="0.35">
      <c r="A14" s="2"/>
      <c r="B14" s="54">
        <v>12</v>
      </c>
      <c r="C14" s="61" t="s">
        <v>318</v>
      </c>
      <c r="D14" s="62"/>
      <c r="E14" s="62"/>
      <c r="F14" s="62" t="str">
        <f t="shared" si="0"/>
        <v/>
      </c>
      <c r="G14" s="52"/>
      <c r="H14" s="60"/>
      <c r="I14" s="60"/>
    </row>
    <row r="15" spans="1:9" x14ac:dyDescent="0.35">
      <c r="A15" s="2"/>
      <c r="B15" s="54">
        <v>13</v>
      </c>
      <c r="C15" s="59" t="s">
        <v>335</v>
      </c>
      <c r="D15" s="56"/>
      <c r="E15" s="56"/>
      <c r="F15" s="56" t="str">
        <f t="shared" si="0"/>
        <v/>
      </c>
      <c r="G15" s="54"/>
      <c r="H15" s="60"/>
      <c r="I15" s="60"/>
    </row>
    <row r="18" spans="2:9" ht="276" customHeight="1" x14ac:dyDescent="0.35">
      <c r="B18" s="78" t="s">
        <v>367</v>
      </c>
      <c r="C18" s="79"/>
      <c r="D18" s="4"/>
      <c r="E18" s="4"/>
      <c r="F18" s="4"/>
      <c r="G18" s="4"/>
      <c r="H18" s="4"/>
      <c r="I18" s="5"/>
    </row>
  </sheetData>
  <mergeCells count="2">
    <mergeCell ref="B18:C18"/>
    <mergeCell ref="A1:I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3"/>
  <sheetViews>
    <sheetView showGridLines="0" tabSelected="1" workbookViewId="0">
      <pane ySplit="1" topLeftCell="A2" activePane="bottomLeft" state="frozen"/>
      <selection pane="bottomLeft" activeCell="J4" sqref="J4"/>
    </sheetView>
  </sheetViews>
  <sheetFormatPr defaultRowHeight="14.5" x14ac:dyDescent="0.35"/>
  <cols>
    <col min="1" max="1" width="4" customWidth="1"/>
    <col min="2" max="2" width="22" customWidth="1"/>
    <col min="3" max="3" width="20" customWidth="1"/>
    <col min="4" max="4" width="58" customWidth="1"/>
    <col min="5" max="5" width="30" customWidth="1"/>
  </cols>
  <sheetData>
    <row r="1" spans="1:5" ht="52" customHeight="1" x14ac:dyDescent="0.35">
      <c r="A1" s="101" t="s">
        <v>0</v>
      </c>
      <c r="B1" s="80"/>
      <c r="C1" s="80"/>
      <c r="D1" s="80"/>
      <c r="E1" s="80"/>
    </row>
    <row r="2" spans="1:5" ht="52" customHeight="1" x14ac:dyDescent="0.35">
      <c r="A2" s="1"/>
      <c r="B2" s="1" t="s">
        <v>368</v>
      </c>
      <c r="C2" s="1" t="s">
        <v>369</v>
      </c>
      <c r="D2" s="1" t="s">
        <v>370</v>
      </c>
      <c r="E2" s="1" t="s">
        <v>371</v>
      </c>
    </row>
    <row r="3" spans="1:5" ht="52" customHeight="1" x14ac:dyDescent="0.35">
      <c r="A3" s="2"/>
      <c r="B3" s="6" t="s">
        <v>372</v>
      </c>
      <c r="C3" s="7" t="s">
        <v>373</v>
      </c>
      <c r="D3" s="3" t="s">
        <v>374</v>
      </c>
      <c r="E3" s="8" t="s">
        <v>375</v>
      </c>
    </row>
    <row r="4" spans="1:5" ht="52" customHeight="1" x14ac:dyDescent="0.35">
      <c r="A4" s="2"/>
      <c r="B4" s="9" t="s">
        <v>376</v>
      </c>
      <c r="C4" s="10" t="s">
        <v>377</v>
      </c>
      <c r="D4" s="11" t="s">
        <v>378</v>
      </c>
      <c r="E4" s="63" t="s">
        <v>379</v>
      </c>
    </row>
    <row r="5" spans="1:5" ht="52" customHeight="1" x14ac:dyDescent="0.35">
      <c r="A5" s="2"/>
      <c r="B5" s="6" t="s">
        <v>380</v>
      </c>
      <c r="C5" s="7" t="s">
        <v>381</v>
      </c>
      <c r="D5" s="3" t="s">
        <v>382</v>
      </c>
      <c r="E5" s="8" t="s">
        <v>383</v>
      </c>
    </row>
    <row r="6" spans="1:5" ht="52" customHeight="1" x14ac:dyDescent="0.35">
      <c r="A6" s="2"/>
      <c r="B6" s="9" t="s">
        <v>384</v>
      </c>
      <c r="C6" s="10" t="s">
        <v>385</v>
      </c>
      <c r="D6" s="11" t="s">
        <v>386</v>
      </c>
      <c r="E6" s="12" t="s">
        <v>387</v>
      </c>
    </row>
    <row r="7" spans="1:5" ht="52" customHeight="1" x14ac:dyDescent="0.35">
      <c r="A7" s="2"/>
      <c r="B7" s="6" t="s">
        <v>388</v>
      </c>
      <c r="C7" s="7" t="s">
        <v>389</v>
      </c>
      <c r="D7" s="3" t="s">
        <v>390</v>
      </c>
      <c r="E7" s="8" t="s">
        <v>391</v>
      </c>
    </row>
    <row r="8" spans="1:5" ht="52" customHeight="1" x14ac:dyDescent="0.35">
      <c r="A8" s="2"/>
      <c r="B8" s="9" t="s">
        <v>392</v>
      </c>
      <c r="C8" s="10" t="s">
        <v>393</v>
      </c>
      <c r="D8" s="11" t="s">
        <v>394</v>
      </c>
      <c r="E8" s="12" t="s">
        <v>395</v>
      </c>
    </row>
    <row r="9" spans="1:5" ht="52" customHeight="1" x14ac:dyDescent="0.35">
      <c r="A9" s="2"/>
      <c r="B9" s="6" t="s">
        <v>396</v>
      </c>
      <c r="C9" s="7" t="s">
        <v>397</v>
      </c>
      <c r="D9" s="3" t="s">
        <v>398</v>
      </c>
      <c r="E9" s="8" t="s">
        <v>399</v>
      </c>
    </row>
    <row r="10" spans="1:5" ht="47.5" customHeight="1" x14ac:dyDescent="0.35">
      <c r="A10" s="2"/>
      <c r="B10" s="9" t="s">
        <v>400</v>
      </c>
      <c r="C10" s="10" t="s">
        <v>401</v>
      </c>
      <c r="D10" s="11" t="s">
        <v>402</v>
      </c>
      <c r="E10" s="12" t="s">
        <v>403</v>
      </c>
    </row>
    <row r="11" spans="1:5" ht="48.65" customHeight="1" x14ac:dyDescent="0.35">
      <c r="A11" s="2"/>
      <c r="B11" s="6" t="s">
        <v>404</v>
      </c>
      <c r="C11" s="7" t="s">
        <v>405</v>
      </c>
      <c r="D11" s="3" t="s">
        <v>406</v>
      </c>
      <c r="E11" s="8" t="s">
        <v>407</v>
      </c>
    </row>
    <row r="12" spans="1:5" ht="53.15" customHeight="1" x14ac:dyDescent="0.35">
      <c r="A12" s="2"/>
      <c r="B12" s="9" t="s">
        <v>408</v>
      </c>
      <c r="C12" s="10" t="s">
        <v>409</v>
      </c>
      <c r="D12" s="11" t="s">
        <v>410</v>
      </c>
      <c r="E12" s="12" t="s">
        <v>411</v>
      </c>
    </row>
    <row r="13" spans="1:5" ht="39.65" customHeight="1" x14ac:dyDescent="0.35">
      <c r="A13" s="2"/>
      <c r="B13" s="6" t="s">
        <v>412</v>
      </c>
      <c r="C13" s="7" t="s">
        <v>413</v>
      </c>
      <c r="D13" s="3" t="s">
        <v>414</v>
      </c>
      <c r="E13" s="8" t="s">
        <v>415</v>
      </c>
    </row>
  </sheetData>
  <mergeCells count="1">
    <mergeCell ref="A1:E1"/>
  </mergeCells>
  <hyperlinks>
    <hyperlink ref="E4" r:id="rId1" xr:uid="{E8453E79-7072-417B-8C75-29351F523489}"/>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Scope Identification_Questions</vt:lpstr>
      <vt:lpstr>Required Access</vt:lpstr>
      <vt:lpstr>Questionaries_for_devops_team</vt:lpstr>
      <vt:lpstr>Assessment</vt:lpstr>
      <vt:lpstr>Report</vt:lpstr>
      <vt:lpstr>Framework References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Pranjal Kalal</cp:lastModifiedBy>
  <cp:revision/>
  <dcterms:created xsi:type="dcterms:W3CDTF">2026-03-21T13:20:50Z</dcterms:created>
  <dcterms:modified xsi:type="dcterms:W3CDTF">2026-04-03T09:30:50Z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79e395e-e3b5-421f-8616-70a10f9451af_Enabled">
    <vt:lpwstr>true</vt:lpwstr>
  </property>
  <property fmtid="{D5CDD505-2E9C-101B-9397-08002B2CF9AE}" pid="3" name="MSIP_Label_879e395e-e3b5-421f-8616-70a10f9451af_SetDate">
    <vt:lpwstr>2026-03-23T13:28:08Z</vt:lpwstr>
  </property>
  <property fmtid="{D5CDD505-2E9C-101B-9397-08002B2CF9AE}" pid="4" name="MSIP_Label_879e395e-e3b5-421f-8616-70a10f9451af_Method">
    <vt:lpwstr>Standard</vt:lpwstr>
  </property>
  <property fmtid="{D5CDD505-2E9C-101B-9397-08002B2CF9AE}" pid="5" name="MSIP_Label_879e395e-e3b5-421f-8616-70a10f9451af_Name">
    <vt:lpwstr>879e395e-e3b5-421f-8616-70a10f9451af</vt:lpwstr>
  </property>
  <property fmtid="{D5CDD505-2E9C-101B-9397-08002B2CF9AE}" pid="6" name="MSIP_Label_879e395e-e3b5-421f-8616-70a10f9451af_SiteId">
    <vt:lpwstr>0beb0c35-9cbb-4feb-99e5-589e415c7944</vt:lpwstr>
  </property>
  <property fmtid="{D5CDD505-2E9C-101B-9397-08002B2CF9AE}" pid="7" name="MSIP_Label_879e395e-e3b5-421f-8616-70a10f9451af_ActionId">
    <vt:lpwstr>d9d6321e-0f82-4bcc-adcb-70ece86e9380</vt:lpwstr>
  </property>
  <property fmtid="{D5CDD505-2E9C-101B-9397-08002B2CF9AE}" pid="8" name="MSIP_Label_879e395e-e3b5-421f-8616-70a10f9451af_ContentBits">
    <vt:lpwstr>0</vt:lpwstr>
  </property>
  <property fmtid="{D5CDD505-2E9C-101B-9397-08002B2CF9AE}" pid="9" name="MSIP_Label_879e395e-e3b5-421f-8616-70a10f9451af_Tag">
    <vt:lpwstr>10, 3, 0, 1</vt:lpwstr>
  </property>
</Properties>
</file>